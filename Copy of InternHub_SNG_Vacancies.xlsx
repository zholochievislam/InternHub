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Вакансии" sheetId="1" r:id="rId5"/>
    <sheet state="visible" name="🏠 Главная" sheetId="2" r:id="rId6"/>
    <sheet state="visible" name="⚙️ Списки" sheetId="3" r:id="rId7"/>
    <sheet state="visible" name="💡 Инструкция" sheetId="4" r:id="rId8"/>
  </sheets>
  <definedNames/>
  <calcPr/>
</workbook>
</file>

<file path=xl/sharedStrings.xml><?xml version="1.0" encoding="utf-8"?>
<sst xmlns="http://schemas.openxmlformats.org/spreadsheetml/2006/main" count="641" uniqueCount="319">
  <si>
    <t>🎓 Специальность</t>
  </si>
  <si>
    <t>🎓 INTERNHUB</t>
  </si>
  <si>
    <t>💼 Вакансия</t>
  </si>
  <si>
    <t>Стажировки и вакансии начального уровня для студентов</t>
  </si>
  <si>
    <t>🏢 Компания</t>
  </si>
  <si>
    <t>Тип</t>
  </si>
  <si>
    <t>📍 Город</t>
  </si>
  <si>
    <t>🏠 Формат</t>
  </si>
  <si>
    <t>⏳ Опыт</t>
  </si>
  <si>
    <t>Skills</t>
  </si>
  <si>
    <t>🎓 Подходит студентам</t>
  </si>
  <si>
    <t>💰 Зарплата</t>
  </si>
  <si>
    <t>📅 Дедлайн</t>
  </si>
  <si>
    <t>🔎 Источник</t>
  </si>
  <si>
    <t>➕ Добавлено</t>
  </si>
  <si>
    <t>🔗 Ссылка</t>
  </si>
  <si>
    <t>Статус</t>
  </si>
  <si>
    <t>💡 Почему подходит</t>
  </si>
  <si>
    <t>INT-001</t>
  </si>
  <si>
    <t>ВСЕГО ВАКАНСИЙ</t>
  </si>
  <si>
    <t>🎓 Student-friendly</t>
  </si>
  <si>
    <t>БЕЗ ОПЫТА</t>
  </si>
  <si>
    <t>IT</t>
  </si>
  <si>
    <t>Internship</t>
  </si>
  <si>
    <t>Алматы</t>
  </si>
  <si>
    <t>АКТИВНЫХ</t>
  </si>
  <si>
    <t>Office</t>
  </si>
  <si>
    <t>Без опыта</t>
  </si>
  <si>
    <t>Да</t>
  </si>
  <si>
    <t>LinkedIn</t>
  </si>
  <si>
    <t>Active</t>
  </si>
  <si>
    <t>ГОРОДОВ</t>
  </si>
  <si>
    <t>Бизнес-аналитика</t>
  </si>
  <si>
    <t>Data Analytics</t>
  </si>
  <si>
    <t>Entry-level</t>
  </si>
  <si>
    <t>Астана</t>
  </si>
  <si>
    <t>💡 Как пользоваться шаблоном InternHub</t>
  </si>
  <si>
    <t>Hybrid</t>
  </si>
  <si>
    <t>0–1 год</t>
  </si>
  <si>
    <t>Нет</t>
  </si>
  <si>
    <t>HeadHunter</t>
  </si>
  <si>
    <t>Expired</t>
  </si>
  <si>
    <t>Finance</t>
  </si>
  <si>
    <t>Trainee</t>
  </si>
  <si>
    <t>Добавлено 10 реальных вакансий по двум специальностям: Business Analytics и Accounting &amp; Finance (СНГ).</t>
  </si>
  <si>
    <t>Стажёр бизнес-аналитик / IT Analyst Intern</t>
  </si>
  <si>
    <t>Шымкент</t>
  </si>
  <si>
    <t>Remote</t>
  </si>
  <si>
    <t>1–2 года</t>
  </si>
  <si>
    <t>Не уверен</t>
  </si>
  <si>
    <t>Telegram</t>
  </si>
  <si>
    <t>Проверить</t>
  </si>
  <si>
    <t>Marketing</t>
  </si>
  <si>
    <t>Part-time</t>
  </si>
  <si>
    <t>Караганда</t>
  </si>
  <si>
    <t>Alma Innovation</t>
  </si>
  <si>
    <t>2+ года</t>
  </si>
  <si>
    <t>Сайт компании</t>
  </si>
  <si>
    <t>Business</t>
  </si>
  <si>
    <t>Graduate Program</t>
  </si>
  <si>
    <t>Другой город</t>
  </si>
  <si>
    <t>Раздел</t>
  </si>
  <si>
    <t>Другой</t>
  </si>
  <si>
    <t>Design</t>
  </si>
  <si>
    <t>HR</t>
  </si>
  <si>
    <t>Что делать</t>
  </si>
  <si>
    <t>Engineering</t>
  </si>
  <si>
    <t>Sales</t>
  </si>
  <si>
    <t>📋 Вакансии</t>
  </si>
  <si>
    <t>PR &amp; Communications</t>
  </si>
  <si>
    <t>Other</t>
  </si>
  <si>
    <t>Главная база. Вносите по одной вакансии в каждую строку.</t>
  </si>
  <si>
    <t>Алматы, Казахстан</t>
  </si>
  <si>
    <t>Выберите категорию из выпадающего списка.</t>
  </si>
  <si>
    <t>Да — можно подаваться без опыта; Не уверен — требования неоднозначные; Нет — нужен опыт.</t>
  </si>
  <si>
    <t>Укажите дату окончания подачи, если она известна.</t>
  </si>
  <si>
    <t>Вставьте прямую ссылку на страницу вакансии.</t>
  </si>
  <si>
    <t>Analytical thinking</t>
  </si>
  <si>
    <t>⚙️ Списки</t>
  </si>
  <si>
    <t>Здесь хранятся варианты для выпадающих списков. Не меняйте их без необходимости.</t>
  </si>
  <si>
    <t>🏠 Главная</t>
  </si>
  <si>
    <t>Стартовая страница проекта с ключевыми показателями.</t>
  </si>
  <si>
    <t>💡 Совет</t>
  </si>
  <si>
    <t>250 000–350 000 ₸</t>
  </si>
  <si>
    <t>Сначала заполните 50–100 вакансий, затем подключите лист «📋 Вакансии» к Looker Studio.</t>
  </si>
  <si>
    <t>2026-09-10</t>
  </si>
  <si>
    <t>https://hh.kz/vacancies/biznes_analitik/bez_opyta_raboty</t>
  </si>
  <si>
    <t>🔎 КАК ИСКАТЬ ВАКАНСИИ</t>
  </si>
  <si>
    <t>1</t>
  </si>
  <si>
    <t>Открой лист «📋 Вакансии»</t>
  </si>
  <si>
    <t>Прямая стажировка бизнес-аналитика без опыта</t>
  </si>
  <si>
    <t>INT-002</t>
  </si>
  <si>
    <t>2</t>
  </si>
  <si>
    <t>Нажми ▼ в нужной колонке</t>
  </si>
  <si>
    <t>3</t>
  </si>
  <si>
    <t>Выбери специальность, город, формат и опыт</t>
  </si>
  <si>
    <t>Младший бизнес-аналитик</t>
  </si>
  <si>
    <t>4</t>
  </si>
  <si>
    <t>Xalq Retail</t>
  </si>
  <si>
    <t>Открой ссылку и подай заявку</t>
  </si>
  <si>
    <t>💡 ЧТО ЗАПОЛНЯТЬ В ПЕРВУЮ ОЧЕРЕДЬ</t>
  </si>
  <si>
    <t>Ташкент, Узбекистан</t>
  </si>
  <si>
    <t>Минимально необходимые поля: специальность, название вакансии, компания, город, формат, опыт, подходит ли студентам и ссылка. Остальные поля можно заполнять постепенно.</t>
  </si>
  <si>
    <t>Не указана</t>
  </si>
  <si>
    <t>https://hh.uz/vacancies/biznes_analitik/bez_opyta_raboty</t>
  </si>
  <si>
    <t>Вакансия прямо обозначена как Junior/младший бизнес-аналитик и без опыта</t>
  </si>
  <si>
    <t>INT-003</t>
  </si>
  <si>
    <t>Стажер — бизнес-аналитик (Дирекция проблемных активов)</t>
  </si>
  <si>
    <t>БАНК УРАЛСИБ</t>
  </si>
  <si>
    <t>Москва, Россия</t>
  </si>
  <si>
    <t>Data verification : Reporting : Comparative analysis : Databases</t>
  </si>
  <si>
    <t>https://hh.ru/vacancies/business_analyst/bez_opyta_raboty</t>
  </si>
  <si>
    <t>Стажировка для студентов и выпускников экономических, финансовых и технических специальностей</t>
  </si>
  <si>
    <t>INT-004</t>
  </si>
  <si>
    <t>Бизнес-аналитик (стажер)</t>
  </si>
  <si>
    <t>Группа компаний TRAPEZA</t>
  </si>
  <si>
    <t xml:space="preserve"> Jira : 1С</t>
  </si>
  <si>
    <t>25 000 ₽</t>
  </si>
  <si>
    <t>SvoeVagro / источник вакансии</t>
  </si>
  <si>
    <t>https://svoevagro.ru/vacancies/2136226694</t>
  </si>
  <si>
    <t>Стажировка без опыта с задачами по данным, 1С и бизнес-процессам</t>
  </si>
  <si>
    <t>INT-005</t>
  </si>
  <si>
    <t>Стажер бизнес-аналитик (FinTech, банковские системы)</t>
  </si>
  <si>
    <t>Финанс Софт Клуб</t>
  </si>
  <si>
    <t>Бишкек, Кыргызстан</t>
  </si>
  <si>
    <t>FinTech : Banking systems : Analytics</t>
  </si>
  <si>
    <t>от 10 000 сом/мес.</t>
  </si>
  <si>
    <t>https://headhunter.kg/vacancies/stazher-v-ofis/bez_opyta_raboty</t>
  </si>
  <si>
    <t>Прямая стажировка бизнес-аналитика в FinTech без опыта</t>
  </si>
  <si>
    <t>INT-006</t>
  </si>
  <si>
    <t>Бухгалтерский учёт и финансы</t>
  </si>
  <si>
    <t>Finance Intern / Стажер отдела финансов</t>
  </si>
  <si>
    <t>Procter &amp; Gamble</t>
  </si>
  <si>
    <t xml:space="preserve">Finance : Excel : Analysis </t>
  </si>
  <si>
    <t>от 600 000 ₸</t>
  </si>
  <si>
    <t>https://almaty.hh.kz/employer/4949?dpt=4949-4949-stud</t>
  </si>
  <si>
    <t>Вакансия для студентов и без опыта</t>
  </si>
  <si>
    <t>INT-007</t>
  </si>
  <si>
    <t>Стажер PepsiCo Go — Финансовое планирование и анализ</t>
  </si>
  <si>
    <t>PepsiCo Central Asia</t>
  </si>
  <si>
    <t>FP&amp;A : Excel : Power Query : Power BI</t>
  </si>
  <si>
    <t>2026-09-22</t>
  </si>
  <si>
    <t>PepsiCo Jobs</t>
  </si>
  <si>
    <t>https://www.pepsicojobs.com/financelegal/jobs/465501?lang=ru-ru</t>
  </si>
  <si>
    <t>Актуальная стажировка FP&amp;A; в вакансии указан старт программы в сентябре 2026</t>
  </si>
  <si>
    <t>INT-008</t>
  </si>
  <si>
    <t>Junior Accountant / Младший бухгалтер</t>
  </si>
  <si>
    <t>Crowe Outsourcing KZ</t>
  </si>
  <si>
    <t>Accounting : Source documentation : Excel</t>
  </si>
  <si>
    <t>https://almaty.hh.kz/vacancies/junior-accountant/bez_opyta_raboty</t>
  </si>
  <si>
    <t>Junior-бухгалтер с требованием без опыта</t>
  </si>
  <si>
    <t>INT-009</t>
  </si>
  <si>
    <t>Стажер в отдел бухгалтерии</t>
  </si>
  <si>
    <t>Carlsberg Kazakhstan</t>
  </si>
  <si>
    <t>Tax accounting : Excel : ERP</t>
  </si>
  <si>
    <t>2026-10-15</t>
  </si>
  <si>
    <t>https://almaty.hh.kz/vacancies/stazher_v_bukhgalteriyu</t>
  </si>
  <si>
    <t>В актуальной выдаче HH указана как без опыта; опубликована в августе 2026</t>
  </si>
  <si>
    <t>INT-010</t>
  </si>
  <si>
    <t>Стажер (Бухгалтер-консультант)</t>
  </si>
  <si>
    <t>SOLVETT COMPLIANCE SERVICES</t>
  </si>
  <si>
    <t>от 4 000 000 сум</t>
  </si>
  <si>
    <t>https://tashkent.hh.uz/vacancies/stazher-v-ofis/ot_pryamih_rabotodateley</t>
  </si>
  <si>
    <t>Без опыта; направление образования — бухгалтерский учёт, экономика или финансы</t>
  </si>
  <si>
    <t>INT-011</t>
  </si>
  <si>
    <t>Маркетинг</t>
  </si>
  <si>
    <t>Стажер в маркетинговый отдел / Marketing Intern</t>
  </si>
  <si>
    <t>ТОО Elite Business Group</t>
  </si>
  <si>
    <t>Canva : Figma</t>
  </si>
  <si>
    <t>Неоплачеваема</t>
  </si>
  <si>
    <t>https://almaty.hh.kz/vacancy/137032369?query=marketing+intern&amp;hhtmFrom=vacancy_search_list</t>
  </si>
  <si>
    <t>Мы предлагаем современный офис в престижном районе Алматы, в БЦ Esentai City, профессиональную международную среду, работу с реальными проектами и возможность учиться непосредственно у специалистов, работающих с корпоративными клиентами.</t>
  </si>
  <si>
    <t>INT-012</t>
  </si>
  <si>
    <t>Marketing Project Manager Intern / Стажёр Маркетинг Проджект Менеджер</t>
  </si>
  <si>
    <r>
      <rPr>
        <rFont val="Calibri"/>
        <color theme="1"/>
        <sz val="11.0"/>
      </rPr>
      <t>LENIVINS</t>
    </r>
    <r>
      <rPr>
        <rFont val="Calibri"/>
        <color rgb="FF1F1F1F"/>
        <sz val="11.0"/>
      </rPr>
      <t xml:space="preserve"> AI</t>
    </r>
  </si>
  <si>
    <t>Notion : Trello : ClickUp : Airtable</t>
  </si>
  <si>
    <t>от 30 000 рублей</t>
  </si>
  <si>
    <t>https://hh.ru/vacancy/136706106?query=стажер+отдела+маркетинга&amp;hhtmFrom=vacancy_search_list</t>
  </si>
  <si>
    <t>Стажировка 3 месяца с дальнейшим трудоустройством при отборе.</t>
  </si>
  <si>
    <t>INT-013</t>
  </si>
  <si>
    <t>Интернет-маркетолог(стажер)</t>
  </si>
  <si>
    <t>Интерактивное агенство Это Легко</t>
  </si>
  <si>
    <t>20 000-30 000 рублей</t>
  </si>
  <si>
    <t>https://hh.ru/vacancy/136464816?query=стажер+отдела+маркетинга&amp;hhtmFrom=vacancy_search_list</t>
  </si>
  <si>
    <t>Пн-Пт. Гибкое начало дня на выбор: с 10.00, 11.00 или 12.00 (по Мск);Оплата любых ИИ-инструментов для работы;Для тех, кто находится в ЕС есть возможность работать в офисе в Лиссабоне, Португалия;</t>
  </si>
  <si>
    <t>INT-014</t>
  </si>
  <si>
    <t>Стажер в отдел digital-маркетинга (контекстная реклама)</t>
  </si>
  <si>
    <t>WGG Marketing Management LLC</t>
  </si>
  <si>
    <t>English B2</t>
  </si>
  <si>
    <t>от 300 до 500 $ за месяц</t>
  </si>
  <si>
    <t>https://hh.ru/vacancy/136533972?query=стажер+отдела+маркетинга&amp;hhtmFrom=vacancy_search_list</t>
  </si>
  <si>
    <t>Интересные международные проекты; А также дадим возможность быстрого карьерного роста - у нас есть система оценки твоего развития, и можно вырасти от стажера до руководителя собственной командой.</t>
  </si>
  <si>
    <t>INT-015</t>
  </si>
  <si>
    <t>Ассистент поддержки команды интернет-маркетинга (стажер)</t>
  </si>
  <si>
    <t>Problem solving</t>
  </si>
  <si>
    <t>https://hh.ru/vacancy/135277290?query=Стажер+отдела+маркетинг&amp;hhtmFrom=vacancy_search_list</t>
  </si>
  <si>
    <t>Получаешь свободу от офиса — работаешь откуда удобно, хоть из другой страны.</t>
  </si>
  <si>
    <t>INT-016</t>
  </si>
  <si>
    <t>Консалтинг</t>
  </si>
  <si>
    <t>Sales Consultant</t>
  </si>
  <si>
    <t>ООО DYNINNO TAS INTERNATIONAL</t>
  </si>
  <si>
    <t>Proficient English speaker : Tech-savvy</t>
  </si>
  <si>
    <t>$300/month</t>
  </si>
  <si>
    <t>https://hh.ru/vacancy/136688010?query=Стажер+в+консалтинг&amp;hhtmFrom=vacancy_search_list</t>
  </si>
  <si>
    <t>Uncapped earning potential — earn up to $6,000/month</t>
  </si>
  <si>
    <t>Финансы аналтитика</t>
  </si>
  <si>
    <t xml:space="preserve">Стажёр PepsiCo Go (направление: Финансовое планирование и анализ)
</t>
  </si>
  <si>
    <t>PepsiCo Go</t>
  </si>
  <si>
    <t>Excel : Power Query</t>
  </si>
  <si>
    <t>https://astana.hh.kz/vacancy/135420502?from=share_ios</t>
  </si>
  <si>
    <t>Отличный старт для студентов-финансистов в Астане: обучение на практике, гибкие условия и минимальные требования (базовый Excel и финучёт).</t>
  </si>
  <si>
    <t>INT-017</t>
  </si>
  <si>
    <t xml:space="preserve">Специалист по продажам / стажёр
</t>
  </si>
  <si>
    <t>ООО NURA-HIGH-TECHNOLOGIES</t>
  </si>
  <si>
    <t>Consulting : Communication : Softskills</t>
  </si>
  <si>
    <t>4 000 000 so'm</t>
  </si>
  <si>
    <t>https://hh.ru/vacancy/137157623?query=Стажер+в+консалтинг&amp;hhtmFrom=vacancy_search_list</t>
  </si>
  <si>
    <t>Официальное трудоустройство согласно ТК Рес.Узбекистан; Обед за счёт компании; Корпоративное такси для рабочих поездок;</t>
  </si>
  <si>
    <t>INT-018</t>
  </si>
  <si>
    <t>Оператор-стажер call-центра</t>
  </si>
  <si>
    <t>ТОО INVITRO (ТОО ИНВИТРО-Казахстан)</t>
  </si>
  <si>
    <t>от 190 000 до 250 000 ₸ за месяц</t>
  </si>
  <si>
    <t>https://hh.ru/vacancy/134789680?query=Стажер+в+консалтинг&amp;hhtmFrom=vacancy_search_list</t>
  </si>
  <si>
    <t>Скидка 50% на услуги лабораторной диагностики и взятие биоматериала, а так же 30% на прием врачей и проведение функциональной диагностики для сотрудника и ближайших родственников</t>
  </si>
  <si>
    <t>INT-019</t>
  </si>
  <si>
    <t>Менеджер по продажам в офис</t>
  </si>
  <si>
    <t xml:space="preserve">ТОО Перспектива 24
</t>
  </si>
  <si>
    <t>Усть-Каменогорск, Казахстан</t>
  </si>
  <si>
    <t>от 400 000 до 600 000 ₸ за месяц</t>
  </si>
  <si>
    <t>https://hh.ru/vacancy/136258217?query=Стажер+в+консалтинг&amp;hhtmFrom=vacancy_search_list</t>
  </si>
  <si>
    <t>Неограниченный карьерный рост</t>
  </si>
  <si>
    <t>INT-020</t>
  </si>
  <si>
    <t>Консультант по алкоголю в LEGION</t>
  </si>
  <si>
    <t xml:space="preserve">ООО LEGION CO
</t>
  </si>
  <si>
    <t>Math : Russian</t>
  </si>
  <si>
    <t>от 3 600 000 до 7 000 000 so'm за месяц</t>
  </si>
  <si>
    <t>https://hh.ru/vacancy/137104793?query=Стажер+в+консалтинг&amp;hhtmFrom=vacancy_search_list</t>
  </si>
  <si>
    <t>KPI-бонусы ежемесячно. Доплаты за прохождение аудитов. Бонусы за доп. продажи премиальных позиций</t>
  </si>
  <si>
    <t>Finance Intern</t>
  </si>
  <si>
    <t>P&amp;G</t>
  </si>
  <si>
    <t>Excel : English B2</t>
  </si>
  <si>
    <t>https://www.pgcareers.com/global/en/job/R000157293/Finance-Intern?source=RS_LINKEDIN</t>
  </si>
  <si>
    <t>you will lead projects related to business analysis, financial data management, and reporting</t>
  </si>
  <si>
    <t>Accounting &amp; Controlling</t>
  </si>
  <si>
    <t xml:space="preserve">Ferrero </t>
  </si>
  <si>
    <t>Accounting : Tax regulations (Kazakhstan) :
Financial analysis : Controlling principles :
International financial standards (IFRS is a plus)</t>
  </si>
  <si>
    <t>https://www.ferrerocareers.com/int/en/jobs/finance-intern-accounting-controlling</t>
  </si>
  <si>
    <t>Программа создана специально для учащихся последних курсов или свежих выпускников финансовых и экономических направлений, которым нужен старт в крупной международной FMCG-компании. Она позволяет применить академические знания на практике — работать с финотчётностью, анализировать затраты и помогать в бюджетировании, а для старта достаточно хорошей базы в Excel, аналитического мышления и английского языка.</t>
  </si>
  <si>
    <t>Business Valuation</t>
  </si>
  <si>
    <t>PwC</t>
  </si>
  <si>
    <t xml:space="preserve">Proficient PC knowledge : Word : Excel : Power Point  
</t>
  </si>
  <si>
    <t>https://jobs-cee.pwc.com/ce/en/job/PWCECE760362WDEXTERNALENCE/Intern-to-Business-Valuation?utm_source=linkedin&amp;utm_medium=phenom-feeds</t>
  </si>
  <si>
    <t>Она предлагает гибкий график под учёбу, а для отклика достаточно базовых знаний финансового анализа, Excel и английского языка.</t>
  </si>
  <si>
    <t>Анализ данных</t>
  </si>
  <si>
    <t>Стажер-аналитик</t>
  </si>
  <si>
    <t>ТОО MAF Group</t>
  </si>
  <si>
    <t>Астана,Казахстан</t>
  </si>
  <si>
    <t xml:space="preserve">Proficient PC knowledge : Word : Excel : Power Point  </t>
  </si>
  <si>
    <t>https://hh.kz/vacancy/136383392?query=%D0%90%D0%BD%D0%B0%D0%BB%D0%B8%D1%82%D0%B8%D0%BA+%D1%81%D1%82%D0%B0%D0%B6%D0%B5%D1%80&amp;hhtmFrom=vacancy_search_list</t>
  </si>
  <si>
    <t>Приоритет отдают студентам и начинающим специалистам. Свободный график, удаленная работа.</t>
  </si>
  <si>
    <t>Data Analytics Trainee</t>
  </si>
  <si>
    <t>Andersen</t>
  </si>
  <si>
    <t>SQL : Python : Fundamentals of Statistics : English Intermediate+ :  Tableu/Power BI or similar</t>
  </si>
  <si>
    <t>от 300 000 ₸/мес (стипендия на время обучения)</t>
  </si>
  <si>
    <t>https://hh.kz/vacancy/136503131</t>
  </si>
  <si>
    <t>международная компания, структурированная 4-месячная программа обучения, практика на реальном проекте, стипендия и трудоустройство по итогам</t>
  </si>
  <si>
    <t>ООО Murad Buildings</t>
  </si>
  <si>
    <t>Excel : Russian : Uzbek</t>
  </si>
  <si>
    <t xml:space="preserve">https://tashkent.hh.uz/vacancy/136541410 </t>
  </si>
  <si>
    <t>Перспектива дальнейшего трудоустройства при успешном прохождении стажировки. Практический опыт работы с реальными объектами недвижимости</t>
  </si>
  <si>
    <t xml:space="preserve">Intern in Project Finance &amp; infrastructure, Strategy&amp;Transaction (PFI)
</t>
  </si>
  <si>
    <t xml:space="preserve">ТОО EY (Ernst &amp; Young)
</t>
  </si>
  <si>
    <t>Preparation for the CFA and/or CP3P examinations</t>
  </si>
  <si>
    <t>2026-27-09</t>
  </si>
  <si>
    <t>https://astana.hh.kz/vacancy/136678536?</t>
  </si>
  <si>
    <t>Junior Data Analyst</t>
  </si>
  <si>
    <t>ТОО Smart Bridge</t>
  </si>
  <si>
    <t>Python : Pandas: NumPy : R : Fundamentals of Statistics</t>
  </si>
  <si>
    <t>400 000 ₸ за месяц</t>
  </si>
  <si>
    <t>https://hh.kz/vacancy/136626924</t>
  </si>
  <si>
    <t>Стажер-разработчик</t>
  </si>
  <si>
    <t>ТОО Prime Source</t>
  </si>
  <si>
    <t>Knowledge of any programming language : SQL : Algorithms</t>
  </si>
  <si>
    <t>на стажировке 150 000 тенге, после стажировки 250 000 тенге</t>
  </si>
  <si>
    <t>https://hh.kz/vacancy/136786927</t>
  </si>
  <si>
    <t>Software QA Engineer/Intern (AI-Powered)</t>
  </si>
  <si>
    <t>ТОО Талисман качества</t>
  </si>
  <si>
    <t>JavaScript/Java knowledge at Junior level : OOP : Enhlish B1+</t>
  </si>
  <si>
    <t>https://hh.kz/vacancy/136986780?query=%D0%BF%D1%80%D0%BE%D0%B3%D1%80%D0%B0%D0%BC%D0%BC%D0%B8%D1%81%D1%82-%D1%81%D1%82%D0%B0%D0%B6%D0%B5%D1%80&amp;hhtmFrom=vacancy_search_list</t>
  </si>
  <si>
    <t>Понятный 4-5месячная стажировка. тестирование, отличная точка входа в IT даже без навыков кодинга, а "AI-Powered" в названии говорит о современном стеке. Возможное трудоустройство после стажировки</t>
  </si>
  <si>
    <t>Engineering, Smart Engineering</t>
  </si>
  <si>
    <t xml:space="preserve">SIEMENS </t>
  </si>
  <si>
    <t>Solid foundation in core engineering principles and technical disciplines</t>
  </si>
  <si>
    <t>https://jobs.siemens.com/en_US/externaljobs/JobDetail/516174?source=LinkedIn&amp;sourceType=PREMIUM_POST_SITE</t>
  </si>
  <si>
    <t>Программа официально создана для учащихся (Student Not Yet Graduated) и предлагает гибкий график с возможностью совмещать работу и учёбу. Она позволяет стартовать в международной гигант-корпорации, получить практический опыт в инженерных и цифровых решениях для инфраструктуры, а также развить профессиональные навыки под руководством менторов.</t>
  </si>
  <si>
    <t xml:space="preserve">Junior/Стажер ML-инженер (разработчик моделей кредитного скоринга)
</t>
  </si>
  <si>
    <t>ZAYMIGO</t>
  </si>
  <si>
    <t>Python : SQL</t>
  </si>
  <si>
    <t>Вакансия Junior/Стажер ML-инженер (разработчик моделей кредитного скоринга) на Geekjob.ru</t>
  </si>
  <si>
    <t>низкие входящие требования, где достаточно лишь базового Python, SQL и матстатистики без обязательного коммерческого опыта. Компания открыто рассматривает новичков с приоритетом для выпускников сильных математических и технических вузов, предлагая гибкое начало рабочего дня в московском офисе для совмещения с учёбой. При этом позиция даёт мощный карьерный старт в профильном финтехе с работой над реальными скоринговыми моделями, официальным оформлением, ДМС и оплатой обучающих курсов.</t>
  </si>
  <si>
    <t>Intern .NET Developer</t>
  </si>
  <si>
    <t>Itransition</t>
  </si>
  <si>
    <t>Foundation of .NET : HTML : CSS : Russian : English B1+</t>
  </si>
  <si>
    <t>https://hh.kz/vacancy/129192272</t>
  </si>
  <si>
    <t>сильная образовательная программа лекции + практика, курсы англисйкого онлайн, 5 дней оплачиваемого больничного в год без справок, регулярные конференции и мастер-классы для обучения и обмена опытом</t>
  </si>
  <si>
    <t xml:space="preserve">Стажер-инженер данных BI (Data Engineer)
</t>
  </si>
  <si>
    <t xml:space="preserve">
ИТ-компания «Лоция»</t>
  </si>
  <si>
    <t>https://talanto.work/jobs/a6f64b43-39cc-4c87-8f2e-ce1ece00bb7c</t>
  </si>
  <si>
    <t>удаленный или гибридный формат с нагрузкой до 30 часов в неделю, что легко совмещать с любой формой обучения. На программу принимают учащихся любых вузов, требуя для старта лишь базовые знания SQL, PostgreSQL и Python. При этом стажировка позволяет быстро прокачаться и получить практический опыт работы с самым современным стеком инженерии данных, включая ClickHouse, DBT, Dagster и Superset.</t>
  </si>
  <si>
    <t xml:space="preserve">Стажер MI инженер [ArchOps]
</t>
  </si>
  <si>
    <t>МТС</t>
  </si>
  <si>
    <t>Python : OOP : Understanding of the operation and construction of AI agents</t>
  </si>
  <si>
    <t>https://talanto.work/jobs/dd087080-171e-48fe-9751-847b98217f49</t>
  </si>
  <si>
    <t>официально рассчитана на старшекурсников (3–6 курс) с гибкой занятостью (30–40 часов в неделю) и минимальным порогом входа (базовый Python и ООП). Программа предлагает реальную работу с ИИ-агентами и Copilot под руководством опытного наставника, а также корпоративные бонусы от МТС (оплата связи, скидки и обучение).</t>
  </si>
  <si>
    <t>Software Functional Testing Intern at EPAM Lab</t>
  </si>
  <si>
    <t xml:space="preserve">EPAM systems </t>
  </si>
  <si>
    <t xml:space="preserve"> Familiarity with the software development &amp; testing life cycle and Agile frameworks : Solid knowledge of functional testing theory (Test Artifacts; Test Methods, Types and Levels; Main Testing Terms; Test Planning and Analysis; Test Documentation; Test Design Techniques; Defect and Results Reporting)</t>
  </si>
  <si>
    <t>https://campus.epam.uz/en/training/5491?utm_source=linkedin&amp;utm_medium=job-post&amp;utm_campaign=ta&amp;utm_content=uz-sft-5491</t>
  </si>
  <si>
    <t>Это бесплатная онлайн-стажировка по тестированию ПО (QA) от компании EPAM, созданная специально для студентов и начинающих специалистов. Программа даёт практический опыт работы с реальными инструментами (Jira, Postman, AI) под руководством менторов, а главное — успешные выпускники получают реальный шанс трудоустроиться в EPAM.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</si>
</sst>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8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28.0"/>
      <color rgb="FF17365D"/>
      <name val="Calibri"/>
      <scheme val="minor"/>
    </font>
    <font>
      <sz val="13.0"/>
      <color rgb="FF1F2937"/>
      <name val="Calibri"/>
      <scheme val="minor"/>
    </font>
    <font>
      <i/>
      <color rgb="FFA6A6A6"/>
      <name val="Calibri"/>
      <scheme val="minor"/>
    </font>
    <font>
      <b/>
      <sz val="10.0"/>
      <color rgb="FF17365D"/>
      <name val="Calibri"/>
      <scheme val="minor"/>
    </font>
    <font/>
    <font>
      <color theme="1"/>
      <name val="Calibri"/>
      <scheme val="minor"/>
    </font>
    <font>
      <sz val="11.0"/>
      <color theme="1"/>
      <name val="Calibri"/>
    </font>
    <font>
      <b/>
      <sz val="22.0"/>
      <color rgb="FF17365D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u/>
      <sz val="11.0"/>
      <color rgb="FF0000FF"/>
      <name val="Calibri"/>
    </font>
    <font>
      <b/>
      <sz val="16.0"/>
      <color rgb="FF17365D"/>
      <name val="Calibri"/>
      <scheme val="minor"/>
    </font>
    <font>
      <b/>
      <sz val="14.0"/>
      <color rgb="FF2F75B5"/>
      <name val="Calibri"/>
      <scheme val="minor"/>
    </font>
    <font>
      <u/>
      <sz val="11.0"/>
      <color rgb="FF0000FF"/>
      <name val="Calibri"/>
    </font>
    <font>
      <sz val="11.0"/>
      <color rgb="FF1F1F1F"/>
      <name val="Calibri"/>
    </font>
    <font>
      <u/>
      <sz val="11.0"/>
      <color theme="1"/>
      <name val="Calibri"/>
    </font>
    <font>
      <color rgb="FF000000"/>
      <name val="Calibri"/>
      <scheme val="minor"/>
    </font>
    <font>
      <u/>
      <sz val="11.0"/>
      <color theme="1"/>
      <name val="Calibri"/>
    </font>
    <font>
      <sz val="12.0"/>
      <color theme="1"/>
      <name val="Calibri"/>
    </font>
    <font>
      <color theme="1"/>
      <name val="Times New Roman"/>
    </font>
    <font>
      <sz val="11.0"/>
      <color rgb="FF000000"/>
      <name val="Times New Roman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1155CC"/>
      <name val="Calibri"/>
      <scheme val="minor"/>
    </font>
    <font>
      <sz val="11.0"/>
      <color rgb="FF000000"/>
      <name val="Calibri"/>
    </font>
    <font>
      <sz val="11.0"/>
      <color rgb="FF0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5F9FD"/>
        <bgColor rgb="FFF5F9F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</fills>
  <borders count="12">
    <border/>
    <border>
      <bottom style="thin">
        <color rgb="FFD9E2F3"/>
      </bottom>
    </border>
    <border>
      <left/>
      <right/>
      <top/>
      <bottom/>
    </border>
    <border>
      <bottom style="hair">
        <color rgb="FFE8EEF5"/>
      </bottom>
    </border>
    <border>
      <left/>
      <top/>
      <bottom/>
    </border>
    <border>
      <right/>
      <top/>
      <bottom/>
    </border>
    <border>
      <left/>
      <top/>
    </border>
    <border>
      <right/>
      <top/>
    </border>
    <border>
      <left/>
      <right/>
      <top/>
    </border>
    <border>
      <left/>
      <bottom/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3" fillId="3" fontId="4" numFmtId="0" xfId="0" applyAlignment="1" applyBorder="1" applyFill="1" applyFont="1">
      <alignment shrinkToFit="0" vertical="top" wrapText="1"/>
    </xf>
    <xf borderId="4" fillId="4" fontId="5" numFmtId="0" xfId="0" applyAlignment="1" applyBorder="1" applyFill="1" applyFont="1">
      <alignment horizontal="center" vertical="center"/>
    </xf>
    <xf borderId="5" fillId="0" fontId="6" numFmtId="0" xfId="0" applyBorder="1" applyFont="1"/>
    <xf borderId="0" fillId="0" fontId="7" numFmtId="0" xfId="0" applyFont="1"/>
    <xf borderId="2" fillId="4" fontId="5" numFmtId="0" xfId="0" applyAlignment="1" applyBorder="1" applyFill="1" applyFont="1">
      <alignment horizontal="center" vertical="center"/>
    </xf>
    <xf borderId="3" fillId="3" fontId="8" numFmtId="49" xfId="0" applyAlignment="1" applyBorder="1" applyFill="1" applyFont="1" applyNumberFormat="1">
      <alignment readingOrder="0" shrinkToFit="0" vertical="top" wrapText="1"/>
    </xf>
    <xf borderId="0" fillId="0" fontId="9" numFmtId="0" xfId="0" applyFont="1"/>
    <xf borderId="3" fillId="3" fontId="8" numFmtId="0" xfId="0" applyAlignment="1" applyBorder="1" applyFill="1" applyFont="1">
      <alignment shrinkToFit="0" vertical="top" wrapText="1"/>
    </xf>
    <xf borderId="6" fillId="3" fontId="9" numFmtId="0" xfId="0" applyAlignment="1" applyBorder="1" applyFill="1" applyFont="1">
      <alignment shrinkToFit="0" vertical="top" wrapText="1"/>
    </xf>
    <xf borderId="7" fillId="0" fontId="6" numFmtId="0" xfId="0" applyBorder="1" applyFont="1"/>
    <xf borderId="2" fillId="2" fontId="10" numFmtId="0" xfId="0" applyBorder="1" applyFill="1" applyFont="1"/>
    <xf borderId="3" fillId="3" fontId="8" numFmtId="0" xfId="0" applyAlignment="1" applyBorder="1" applyFill="1" applyFont="1">
      <alignment readingOrder="0" shrinkToFit="0" vertical="top" wrapText="1"/>
    </xf>
    <xf borderId="0" fillId="0" fontId="11" numFmtId="0" xfId="0" applyFont="1"/>
    <xf borderId="0" fillId="0" fontId="8" numFmtId="0" xfId="0" applyAlignment="1" applyFont="1">
      <alignment shrinkToFit="0" vertical="top" wrapText="1"/>
    </xf>
    <xf borderId="6" fillId="3" fontId="9" numFmtId="0" xfId="0" applyAlignment="1" applyBorder="1" applyFill="1" applyFont="1">
      <alignment horizontal="center" vertical="center"/>
    </xf>
    <xf borderId="3" fillId="3" fontId="8" numFmtId="164" xfId="0" applyAlignment="1" applyBorder="1" applyFill="1" applyFont="1" applyNumberFormat="1">
      <alignment shrinkToFit="0" vertical="top" wrapText="1"/>
    </xf>
    <xf borderId="8" fillId="3" fontId="9" numFmtId="0" xfId="0" applyAlignment="1" applyBorder="1" applyFill="1" applyFont="1">
      <alignment horizontal="center" vertical="center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3" fillId="3" fontId="12" numFmtId="0" xfId="0" applyAlignment="1" applyBorder="1" applyFill="1" applyFont="1">
      <alignment readingOrder="0" shrinkToFit="0" vertical="top" wrapText="1"/>
    </xf>
    <xf borderId="0" fillId="0" fontId="13" numFmtId="0" xfId="0" applyFont="1"/>
    <xf borderId="0" fillId="0" fontId="14" numFmtId="0" xfId="0" applyFont="1"/>
    <xf borderId="0" fillId="0" fontId="8" numFmtId="0" xfId="0" applyAlignment="1" applyFont="1">
      <alignment vertical="center"/>
    </xf>
    <xf borderId="3" fillId="0" fontId="8" numFmtId="0" xfId="0" applyAlignment="1" applyBorder="1" applyFont="1">
      <alignment shrinkToFit="0" vertical="top" wrapText="1"/>
    </xf>
    <xf borderId="3" fillId="0" fontId="8" numFmtId="0" xfId="0" applyAlignment="1" applyBorder="1" applyFont="1">
      <alignment readingOrder="0" shrinkToFit="0" vertical="top" wrapText="1"/>
    </xf>
    <xf borderId="3" fillId="0" fontId="8" numFmtId="164" xfId="0" applyAlignment="1" applyBorder="1" applyFont="1" applyNumberFormat="1">
      <alignment shrinkToFit="0" vertical="top" wrapText="1"/>
    </xf>
    <xf borderId="3" fillId="0" fontId="15" numFmtId="0" xfId="0" applyAlignment="1" applyBorder="1" applyFont="1">
      <alignment readingOrder="0" shrinkToFit="0" vertical="top" wrapText="1"/>
    </xf>
    <xf borderId="3" fillId="3" fontId="8" numFmtId="164" xfId="0" applyAlignment="1" applyBorder="1" applyFill="1" applyFont="1" applyNumberFormat="1">
      <alignment readingOrder="0" shrinkToFit="0" vertical="top" wrapText="1"/>
    </xf>
    <xf borderId="3" fillId="0" fontId="8" numFmtId="0" xfId="0" applyAlignment="1" applyBorder="1" applyFont="1">
      <alignment readingOrder="0" shrinkToFit="0" vertical="top" wrapText="1"/>
    </xf>
    <xf borderId="3" fillId="0" fontId="8" numFmtId="164" xfId="0" applyAlignment="1" applyBorder="1" applyFont="1" applyNumberFormat="1">
      <alignment readingOrder="0" shrinkToFit="0" vertical="top" wrapText="1"/>
    </xf>
    <xf borderId="3" fillId="3" fontId="16" numFmtId="0" xfId="0" applyAlignment="1" applyBorder="1" applyFill="1" applyFont="1">
      <alignment readingOrder="0" shrinkToFit="0" vertical="top" wrapText="1"/>
    </xf>
    <xf borderId="3" fillId="3" fontId="17" numFmtId="0" xfId="0" applyAlignment="1" applyBorder="1" applyFill="1" applyFont="1">
      <alignment readingOrder="0" shrinkToFit="0" vertical="top" wrapText="1"/>
    </xf>
    <xf borderId="0" fillId="5" fontId="18" numFmtId="0" xfId="0" applyAlignment="1" applyFill="1" applyFont="1">
      <alignment horizontal="left" readingOrder="0"/>
    </xf>
    <xf borderId="3" fillId="0" fontId="19" numFmtId="0" xfId="0" applyAlignment="1" applyBorder="1" applyFont="1">
      <alignment readingOrder="0" shrinkToFit="0" vertical="top" wrapText="1"/>
    </xf>
    <xf borderId="3" fillId="0" fontId="20" numFmtId="0" xfId="0" applyAlignment="1" applyBorder="1" applyFont="1">
      <alignment readingOrder="0" shrinkToFit="0" vertical="top" wrapText="1"/>
    </xf>
    <xf borderId="0" fillId="0" fontId="18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7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3" fillId="3" fontId="23" numFmtId="0" xfId="0" applyAlignment="1" applyBorder="1" applyFill="1" applyFont="1">
      <alignment readingOrder="0" shrinkToFit="0" vertical="top" wrapText="1"/>
    </xf>
    <xf borderId="3" fillId="0" fontId="24" numFmtId="0" xfId="0" applyAlignment="1" applyBorder="1" applyFont="1">
      <alignment readingOrder="0" shrinkToFit="0" vertical="top" wrapText="1"/>
    </xf>
    <xf borderId="3" fillId="0" fontId="16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readingOrder="0"/>
    </xf>
    <xf borderId="0" fillId="0" fontId="25" numFmtId="0" xfId="0" applyAlignment="1" applyFont="1">
      <alignment readingOrder="0"/>
    </xf>
    <xf borderId="3" fillId="3" fontId="26" numFmtId="0" xfId="0" applyAlignment="1" applyBorder="1" applyFill="1" applyFont="1">
      <alignment readingOrder="0" shrinkToFit="0" vertical="top" wrapText="1"/>
    </xf>
    <xf borderId="0" fillId="5" fontId="27" numFmtId="0" xfId="0" applyAlignment="1" applyFill="1" applyFont="1">
      <alignment readingOrder="0"/>
    </xf>
    <xf borderId="0" fillId="5" fontId="27" numFmtId="0" xfId="0" applyFill="1" applyFont="1"/>
  </cellXfs>
  <cellStyles count="1">
    <cellStyle xfId="0" name="Normal" builtinId="0"/>
  </cellStyles>
  <dxfs count="4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hh.ru/vacancy/137104793?query=%D0%A1%D1%82%D0%B0%D0%B6%D0%B5%D1%80+%D0%B2+%D0%BA%D0%BE%D0%BD%D1%81%D0%B0%D0%BB%D1%82%D0%B8%D0%BD%D0%B3&amp;hhtmFrom=vacancy_search_list" TargetMode="External"/><Relationship Id="rId22" Type="http://schemas.openxmlformats.org/officeDocument/2006/relationships/hyperlink" Target="https://www.ferrerocareers.com/int/en/jobs/finance-intern-accounting-controlling" TargetMode="External"/><Relationship Id="rId21" Type="http://schemas.openxmlformats.org/officeDocument/2006/relationships/hyperlink" Target="https://www.pgcareers.com/global/en/job/R000157293/Finance-Intern?source=RS_LINKEDIN" TargetMode="External"/><Relationship Id="rId24" Type="http://schemas.openxmlformats.org/officeDocument/2006/relationships/hyperlink" Target="https://hh.kz/vacancy/136383392?query=%D0%90%D0%BD%D0%B0%D0%BB%D0%B8%D1%82%D0%B8%D0%BA+%D1%81%D1%82%D0%B0%D0%B6%D0%B5%D1%80&amp;hhtmFrom=vacancy_search_list" TargetMode="External"/><Relationship Id="rId23" Type="http://schemas.openxmlformats.org/officeDocument/2006/relationships/hyperlink" Target="https://jobs-cee.pwc.com/ce/en/job/PWCECE760362WDEXTERNALENCE/Intern-to-Business-Valuation?utm_source=linkedin&amp;utm_medium=phenom-feeds" TargetMode="External"/><Relationship Id="rId1" Type="http://schemas.openxmlformats.org/officeDocument/2006/relationships/hyperlink" Target="https://hh.kz/vacancies/biznes-analitik-it/bez_opyta_raboty" TargetMode="External"/><Relationship Id="rId2" Type="http://schemas.openxmlformats.org/officeDocument/2006/relationships/hyperlink" Target="https://hh.uz/vacancies/sistemnyj-biznes-analitik/bez_opyta_raboty?page=0" TargetMode="External"/><Relationship Id="rId3" Type="http://schemas.openxmlformats.org/officeDocument/2006/relationships/hyperlink" Target="https://hh.kz/vacancies/business_analyst/bez_opyta_raboty" TargetMode="External"/><Relationship Id="rId4" Type="http://schemas.openxmlformats.org/officeDocument/2006/relationships/hyperlink" Target="https://svoevagro.ru/vacancies/2136226694" TargetMode="External"/><Relationship Id="rId9" Type="http://schemas.openxmlformats.org/officeDocument/2006/relationships/hyperlink" Target="https://hh.uz/vacancies/stazher-v-tehnicheskij-otdel/ot_pryamih_rabotodateley" TargetMode="External"/><Relationship Id="rId26" Type="http://schemas.openxmlformats.org/officeDocument/2006/relationships/hyperlink" Target="https://tashkent.hh.uz/vacancy/136541410" TargetMode="External"/><Relationship Id="rId25" Type="http://schemas.openxmlformats.org/officeDocument/2006/relationships/hyperlink" Target="https://hh.kz/vacancy/136503131" TargetMode="External"/><Relationship Id="rId28" Type="http://schemas.openxmlformats.org/officeDocument/2006/relationships/hyperlink" Target="https://hh.kz/vacancy/136626924" TargetMode="External"/><Relationship Id="rId27" Type="http://schemas.openxmlformats.org/officeDocument/2006/relationships/hyperlink" Target="https://astana.hh.kz/vacancy/136678536?query=%D1%84%D0%B8%D0%BD%D0%B0%D0%BD%D1%81%D0%BE%D0%B2%D1%8B%D0%B9+%D0%B0%D0%BD%D0%B0%D0%BB%D0%B8%D1%82%D0%B8%D0%BA+%D1%81%D1%82%D0%B0%D0%B6%D0%B5%D1%80&amp;hhtmFrom=vacancy_search_listquery=%D1%84%D0%B8%D0%BD%D0%B0%D0%BD%D1%81%D0%BE%D0%B2%D1%8B%D0%B9+%D0%B0%D0%BD%D0%B0%D0%BB%D0%B8%D1%82%D0%B8%D0%BA+%D1%81%D1%82%D0%B0%D0%B6%D0%B5%D1%80&amp;hhtmFrom=vacancy_search_list" TargetMode="External"/><Relationship Id="rId5" Type="http://schemas.openxmlformats.org/officeDocument/2006/relationships/hyperlink" Target="https://headhunter.kg/vacancies/stazher-v-otdel-reklamy/bez_opyta_raboty" TargetMode="External"/><Relationship Id="rId6" Type="http://schemas.openxmlformats.org/officeDocument/2006/relationships/hyperlink" Target="https://www.pepsicojobs.com/financelegal/jobs/465501?lang=ru-ru" TargetMode="External"/><Relationship Id="rId29" Type="http://schemas.openxmlformats.org/officeDocument/2006/relationships/hyperlink" Target="https://hh.kz/vacancy/136786927" TargetMode="External"/><Relationship Id="rId7" Type="http://schemas.openxmlformats.org/officeDocument/2006/relationships/hyperlink" Target="https://almaty.hh.kz/vacancies/bez_opyta_raboty" TargetMode="External"/><Relationship Id="rId8" Type="http://schemas.openxmlformats.org/officeDocument/2006/relationships/hyperlink" Target="https://almaty.hh.kz/vacancies/stazher_v_bukhgalteriyu/rabota_dlya_invalidov" TargetMode="External"/><Relationship Id="rId31" Type="http://schemas.openxmlformats.org/officeDocument/2006/relationships/hyperlink" Target="https://jobs.siemens.com/en_US/externaljobs/JobDetail/516174?source=LinkedIn&amp;sourceType=PREMIUM_POST_SITE" TargetMode="External"/><Relationship Id="rId30" Type="http://schemas.openxmlformats.org/officeDocument/2006/relationships/hyperlink" Target="https://hh.kz/vacancy/136986780?query=%D0%BF%D1%80%D0%BE%D0%B3%D1%80%D0%B0%D0%BC%D0%BC%D0%B8%D1%81%D1%82-%D1%81%D1%82%D0%B0%D0%B6%D0%B5%D1%80&amp;hhtmFrom=vacancy_search_list" TargetMode="External"/><Relationship Id="rId11" Type="http://schemas.openxmlformats.org/officeDocument/2006/relationships/hyperlink" Target="https://hh.ru/vacancy/136706106?query=%D1%81%D1%82%D0%B0%D0%B6%D0%B5%D1%80+%D0%BE%D1%82%D0%B4%D0%B5%D0%BB%D0%B0+%D0%BC%D0%B0%D1%80%D0%BA%D0%B5%D1%82%D0%B8%D0%BD%D0%B3%D0%B0&amp;hhtmFrom=vacancy_search_list" TargetMode="External"/><Relationship Id="rId33" Type="http://schemas.openxmlformats.org/officeDocument/2006/relationships/hyperlink" Target="https://hh.kz/vacancy/129192272" TargetMode="External"/><Relationship Id="rId10" Type="http://schemas.openxmlformats.org/officeDocument/2006/relationships/hyperlink" Target="https://almaty.hh.kz/vacancy/137032369?query=marketing+intern&amp;hhtmFrom=vacancy_search_list" TargetMode="External"/><Relationship Id="rId32" Type="http://schemas.openxmlformats.org/officeDocument/2006/relationships/hyperlink" Target="https://geekjob.ru/vacancy/6a8c9d98b9ba311dae061bca" TargetMode="External"/><Relationship Id="rId13" Type="http://schemas.openxmlformats.org/officeDocument/2006/relationships/hyperlink" Target="https://hh.ru/vacancy/136533972?query=%D1%81%D1%82%D0%B0%D0%B6%D0%B5%D1%80+%D0%BE%D1%82%D0%B4%D0%B5%D0%BB%D0%B0+%D0%BC%D0%B0%D1%80%D0%BA%D0%B5%D1%82%D0%B8%D0%BD%D0%B3%D0%B0&amp;hhtmFrom=vacancy_search_list" TargetMode="External"/><Relationship Id="rId35" Type="http://schemas.openxmlformats.org/officeDocument/2006/relationships/hyperlink" Target="https://talanto.work/jobs/dd087080-171e-48fe-9751-847b98217f49" TargetMode="External"/><Relationship Id="rId12" Type="http://schemas.openxmlformats.org/officeDocument/2006/relationships/hyperlink" Target="https://hh.ru/vacancy/136464816?query=%D1%81%D1%82%D0%B0%D0%B6%D0%B5%D1%80+%D0%BE%D1%82%D0%B4%D0%B5%D0%BB%D0%B0+%D0%BC%D0%B0%D1%80%D0%BA%D0%B5%D1%82%D0%B8%D0%BD%D0%B3%D0%B0&amp;hhtmFrom=vacancy_search_list" TargetMode="External"/><Relationship Id="rId34" Type="http://schemas.openxmlformats.org/officeDocument/2006/relationships/hyperlink" Target="https://talanto.work/jobs/a6f64b43-39cc-4c87-8f2e-ce1ece00bb7c" TargetMode="External"/><Relationship Id="rId15" Type="http://schemas.openxmlformats.org/officeDocument/2006/relationships/hyperlink" Target="https://hh.ru/vacancy/136688010?query=%D0%A1%D1%82%D0%B0%D0%B6%D0%B5%D1%80+%D0%B2+%D0%BA%D0%BE%D0%BD%D1%81%D0%B0%D0%BB%D1%82%D0%B8%D0%BD%D0%B3&amp;hhtmFrom=vacancy_search_list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hh.ru/vacancy/135277290?query=%D0%A1%D1%82%D0%B0%D0%B6%D0%B5%D1%80+%D0%BE%D1%82%D0%B4%D0%B5%D0%BB%D0%B0+%D0%BC%D0%B0%D1%80%D0%BA%D0%B5%D1%82%D0%B8%D0%BD%D0%B3&amp;hhtmFrom=vacancy_search_list" TargetMode="External"/><Relationship Id="rId36" Type="http://schemas.openxmlformats.org/officeDocument/2006/relationships/hyperlink" Target="https://campus.epam.uz/en/training/5491?utm_source=linkedin&amp;utm_medium=job-post&amp;utm_campaign=ta&amp;utm_content=uz-sft-5491" TargetMode="External"/><Relationship Id="rId17" Type="http://schemas.openxmlformats.org/officeDocument/2006/relationships/hyperlink" Target="https://hh.ru/vacancy/137157623?query=%D0%A1%D1%82%D0%B0%D0%B6%D0%B5%D1%80+%D0%B2+%D0%BA%D0%BE%D0%BD%D1%81%D0%B0%D0%BB%D1%82%D0%B8%D0%BD%D0%B3&amp;hhtmFrom=vacancy_search_list" TargetMode="External"/><Relationship Id="rId16" Type="http://schemas.openxmlformats.org/officeDocument/2006/relationships/hyperlink" Target="https://astana.hh.kz/vacancy/135420502?from=share_ios" TargetMode="External"/><Relationship Id="rId19" Type="http://schemas.openxmlformats.org/officeDocument/2006/relationships/hyperlink" Target="https://hh.ru/vacancy/136258217?query=%D0%A1%D1%82%D0%B0%D0%B6%D0%B5%D1%80+%D0%B2+%D0%BA%D0%BE%D0%BD%D1%81%D0%B0%D0%BB%D1%82%D0%B8%D0%BD%D0%B3&amp;hhtmFrom=vacancy_search_list" TargetMode="External"/><Relationship Id="rId18" Type="http://schemas.openxmlformats.org/officeDocument/2006/relationships/hyperlink" Target="https://hh.ru/vacancy/134789680?query=%D0%A1%D1%82%D0%B0%D0%B6%D0%B5%D1%80+%D0%B2+%D0%BA%D0%BE%D0%BD%D1%81%D0%B0%D0%BB%D1%82%D0%B8%D0%BD%D0%B3&amp;hhtmFrom=vacancy_search_lis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3" width="32.0"/>
    <col customWidth="1" min="4" max="4" width="22.0"/>
    <col customWidth="1" min="5" max="5" width="16.0"/>
    <col customWidth="1" min="6" max="6" width="15.0"/>
    <col customWidth="1" min="7" max="8" width="14.0"/>
    <col customWidth="1" min="9" max="9" width="30.0"/>
    <col customWidth="1" min="10" max="10" width="23.0"/>
    <col customWidth="1" min="11" max="11" width="16.0"/>
    <col customWidth="1" min="12" max="12" width="15.0"/>
    <col customWidth="1" min="13" max="13" width="18.0"/>
    <col customWidth="1" min="14" max="14" width="15.0"/>
    <col customWidth="1" min="15" max="15" width="38.0"/>
    <col customWidth="1" min="16" max="16" width="15.0"/>
    <col customWidth="1" min="17" max="17" width="35.0"/>
    <col customWidth="1" min="18" max="25" width="8.71"/>
  </cols>
  <sheetData>
    <row r="1" ht="45.0" customHeight="1">
      <c r="A1" s="1">
        <v>2.0</v>
      </c>
      <c r="B1" s="3" t="s">
        <v>0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1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</row>
    <row r="2">
      <c r="A2" s="6" t="s">
        <v>18</v>
      </c>
      <c r="B2" s="11" t="s">
        <v>32</v>
      </c>
      <c r="C2" s="13" t="s">
        <v>45</v>
      </c>
      <c r="D2" s="13" t="s">
        <v>55</v>
      </c>
      <c r="E2" s="17" t="s">
        <v>23</v>
      </c>
      <c r="F2" s="13" t="s">
        <v>72</v>
      </c>
      <c r="G2" s="17" t="s">
        <v>26</v>
      </c>
      <c r="H2" s="13" t="s">
        <v>27</v>
      </c>
      <c r="I2" s="17" t="s">
        <v>77</v>
      </c>
      <c r="J2" s="13" t="s">
        <v>28</v>
      </c>
      <c r="K2" s="13" t="s">
        <v>83</v>
      </c>
      <c r="L2" s="21"/>
      <c r="M2" s="17" t="s">
        <v>40</v>
      </c>
      <c r="N2" s="21" t="s">
        <v>85</v>
      </c>
      <c r="O2" s="26" t="s">
        <v>86</v>
      </c>
      <c r="P2" s="17" t="s">
        <v>30</v>
      </c>
      <c r="Q2" s="13" t="s">
        <v>90</v>
      </c>
    </row>
    <row r="3">
      <c r="A3" s="30" t="s">
        <v>91</v>
      </c>
      <c r="B3" s="30" t="s">
        <v>32</v>
      </c>
      <c r="C3" s="30" t="s">
        <v>96</v>
      </c>
      <c r="D3" s="30" t="s">
        <v>98</v>
      </c>
      <c r="E3" s="31" t="s">
        <v>34</v>
      </c>
      <c r="F3" s="30" t="s">
        <v>101</v>
      </c>
      <c r="G3" s="31" t="s">
        <v>26</v>
      </c>
      <c r="H3" s="30" t="s">
        <v>27</v>
      </c>
      <c r="I3" s="31" t="s">
        <v>77</v>
      </c>
      <c r="J3" s="30" t="s">
        <v>28</v>
      </c>
      <c r="K3" s="30" t="s">
        <v>103</v>
      </c>
      <c r="L3" s="32"/>
      <c r="M3" s="31" t="s">
        <v>40</v>
      </c>
      <c r="N3" s="32" t="s">
        <v>85</v>
      </c>
      <c r="O3" s="33" t="s">
        <v>104</v>
      </c>
      <c r="P3" s="31" t="s">
        <v>30</v>
      </c>
      <c r="Q3" s="30" t="s">
        <v>105</v>
      </c>
    </row>
    <row r="4">
      <c r="A4" s="13" t="s">
        <v>106</v>
      </c>
      <c r="B4" s="13" t="s">
        <v>32</v>
      </c>
      <c r="C4" s="13" t="s">
        <v>107</v>
      </c>
      <c r="D4" s="13" t="s">
        <v>108</v>
      </c>
      <c r="E4" s="17" t="s">
        <v>23</v>
      </c>
      <c r="F4" s="13" t="s">
        <v>109</v>
      </c>
      <c r="G4" s="17" t="s">
        <v>26</v>
      </c>
      <c r="H4" s="13" t="s">
        <v>27</v>
      </c>
      <c r="I4" s="17" t="s">
        <v>110</v>
      </c>
      <c r="J4" s="13" t="s">
        <v>28</v>
      </c>
      <c r="K4" s="13" t="s">
        <v>103</v>
      </c>
      <c r="L4" s="21"/>
      <c r="M4" s="17" t="s">
        <v>40</v>
      </c>
      <c r="N4" s="21" t="s">
        <v>85</v>
      </c>
      <c r="O4" s="26" t="s">
        <v>111</v>
      </c>
      <c r="P4" s="17" t="s">
        <v>30</v>
      </c>
      <c r="Q4" s="13" t="s">
        <v>112</v>
      </c>
    </row>
    <row r="5">
      <c r="A5" s="30" t="s">
        <v>113</v>
      </c>
      <c r="B5" s="30" t="s">
        <v>32</v>
      </c>
      <c r="C5" s="30" t="s">
        <v>114</v>
      </c>
      <c r="D5" s="30" t="s">
        <v>115</v>
      </c>
      <c r="E5" s="31" t="s">
        <v>23</v>
      </c>
      <c r="F5" s="30" t="s">
        <v>109</v>
      </c>
      <c r="G5" s="31" t="s">
        <v>26</v>
      </c>
      <c r="H5" s="30" t="s">
        <v>27</v>
      </c>
      <c r="I5" s="31" t="s">
        <v>116</v>
      </c>
      <c r="J5" s="30" t="s">
        <v>28</v>
      </c>
      <c r="K5" s="30" t="s">
        <v>117</v>
      </c>
      <c r="L5" s="32"/>
      <c r="M5" s="30" t="s">
        <v>118</v>
      </c>
      <c r="N5" s="32" t="s">
        <v>85</v>
      </c>
      <c r="O5" s="33" t="s">
        <v>119</v>
      </c>
      <c r="P5" s="31" t="s">
        <v>30</v>
      </c>
      <c r="Q5" s="30" t="s">
        <v>120</v>
      </c>
    </row>
    <row r="6">
      <c r="A6" s="13" t="s">
        <v>121</v>
      </c>
      <c r="B6" s="13" t="s">
        <v>32</v>
      </c>
      <c r="C6" s="13" t="s">
        <v>122</v>
      </c>
      <c r="D6" s="13" t="s">
        <v>123</v>
      </c>
      <c r="E6" s="17" t="s">
        <v>23</v>
      </c>
      <c r="F6" s="13" t="s">
        <v>124</v>
      </c>
      <c r="G6" s="17" t="s">
        <v>26</v>
      </c>
      <c r="H6" s="13" t="s">
        <v>27</v>
      </c>
      <c r="I6" s="17" t="s">
        <v>125</v>
      </c>
      <c r="J6" s="13" t="s">
        <v>28</v>
      </c>
      <c r="K6" s="13" t="s">
        <v>126</v>
      </c>
      <c r="L6" s="21"/>
      <c r="M6" s="17" t="s">
        <v>40</v>
      </c>
      <c r="N6" s="21" t="s">
        <v>85</v>
      </c>
      <c r="O6" s="26" t="s">
        <v>127</v>
      </c>
      <c r="P6" s="17" t="s">
        <v>30</v>
      </c>
      <c r="Q6" s="13" t="s">
        <v>128</v>
      </c>
    </row>
    <row r="7">
      <c r="A7" s="30" t="s">
        <v>129</v>
      </c>
      <c r="B7" s="30" t="s">
        <v>130</v>
      </c>
      <c r="C7" s="30" t="s">
        <v>131</v>
      </c>
      <c r="D7" s="30" t="s">
        <v>132</v>
      </c>
      <c r="E7" s="31" t="s">
        <v>23</v>
      </c>
      <c r="F7" s="30" t="s">
        <v>72</v>
      </c>
      <c r="G7" s="31" t="s">
        <v>26</v>
      </c>
      <c r="H7" s="30" t="s">
        <v>27</v>
      </c>
      <c r="I7" s="31" t="s">
        <v>133</v>
      </c>
      <c r="J7" s="30" t="s">
        <v>28</v>
      </c>
      <c r="K7" s="30" t="s">
        <v>134</v>
      </c>
      <c r="L7" s="32"/>
      <c r="M7" s="31" t="s">
        <v>40</v>
      </c>
      <c r="N7" s="32" t="s">
        <v>85</v>
      </c>
      <c r="O7" s="33" t="s">
        <v>135</v>
      </c>
      <c r="P7" s="31" t="s">
        <v>30</v>
      </c>
      <c r="Q7" s="30" t="s">
        <v>136</v>
      </c>
    </row>
    <row r="8">
      <c r="A8" s="13" t="s">
        <v>137</v>
      </c>
      <c r="B8" s="13" t="s">
        <v>130</v>
      </c>
      <c r="C8" s="13" t="s">
        <v>138</v>
      </c>
      <c r="D8" s="13" t="s">
        <v>139</v>
      </c>
      <c r="E8" s="17" t="s">
        <v>23</v>
      </c>
      <c r="F8" s="13" t="s">
        <v>72</v>
      </c>
      <c r="G8" s="17" t="s">
        <v>26</v>
      </c>
      <c r="H8" s="13" t="s">
        <v>27</v>
      </c>
      <c r="I8" s="17" t="s">
        <v>140</v>
      </c>
      <c r="J8" s="13" t="s">
        <v>28</v>
      </c>
      <c r="K8" s="13" t="s">
        <v>103</v>
      </c>
      <c r="L8" s="21" t="s">
        <v>141</v>
      </c>
      <c r="M8" s="13" t="s">
        <v>142</v>
      </c>
      <c r="N8" s="21" t="s">
        <v>85</v>
      </c>
      <c r="O8" s="26" t="s">
        <v>143</v>
      </c>
      <c r="P8" s="17" t="s">
        <v>30</v>
      </c>
      <c r="Q8" s="13" t="s">
        <v>144</v>
      </c>
    </row>
    <row r="9">
      <c r="A9" s="30" t="s">
        <v>145</v>
      </c>
      <c r="B9" s="30" t="s">
        <v>130</v>
      </c>
      <c r="C9" s="30" t="s">
        <v>146</v>
      </c>
      <c r="D9" s="30" t="s">
        <v>147</v>
      </c>
      <c r="E9" s="31" t="s">
        <v>34</v>
      </c>
      <c r="F9" s="30" t="s">
        <v>72</v>
      </c>
      <c r="G9" s="31" t="s">
        <v>26</v>
      </c>
      <c r="H9" s="30" t="s">
        <v>27</v>
      </c>
      <c r="I9" s="31" t="s">
        <v>148</v>
      </c>
      <c r="J9" s="30" t="s">
        <v>28</v>
      </c>
      <c r="K9" s="30" t="s">
        <v>103</v>
      </c>
      <c r="L9" s="32"/>
      <c r="M9" s="31" t="s">
        <v>40</v>
      </c>
      <c r="N9" s="32" t="s">
        <v>85</v>
      </c>
      <c r="O9" s="33" t="s">
        <v>149</v>
      </c>
      <c r="P9" s="31" t="s">
        <v>30</v>
      </c>
      <c r="Q9" s="30" t="s">
        <v>150</v>
      </c>
    </row>
    <row r="10">
      <c r="A10" s="13" t="s">
        <v>151</v>
      </c>
      <c r="B10" s="13" t="s">
        <v>130</v>
      </c>
      <c r="C10" s="13" t="s">
        <v>152</v>
      </c>
      <c r="D10" s="13" t="s">
        <v>153</v>
      </c>
      <c r="E10" s="17" t="s">
        <v>23</v>
      </c>
      <c r="F10" s="13" t="s">
        <v>72</v>
      </c>
      <c r="G10" s="17" t="s">
        <v>37</v>
      </c>
      <c r="H10" s="13" t="s">
        <v>27</v>
      </c>
      <c r="I10" s="17" t="s">
        <v>154</v>
      </c>
      <c r="J10" s="13" t="s">
        <v>28</v>
      </c>
      <c r="K10" s="13" t="s">
        <v>103</v>
      </c>
      <c r="L10" s="21" t="s">
        <v>155</v>
      </c>
      <c r="M10" s="17" t="s">
        <v>40</v>
      </c>
      <c r="N10" s="21" t="s">
        <v>85</v>
      </c>
      <c r="O10" s="26" t="s">
        <v>156</v>
      </c>
      <c r="P10" s="17" t="s">
        <v>30</v>
      </c>
      <c r="Q10" s="13" t="s">
        <v>157</v>
      </c>
    </row>
    <row r="11" ht="39.0" customHeight="1">
      <c r="A11" s="30" t="s">
        <v>158</v>
      </c>
      <c r="B11" s="30" t="s">
        <v>130</v>
      </c>
      <c r="C11" s="30" t="s">
        <v>159</v>
      </c>
      <c r="D11" s="30" t="s">
        <v>160</v>
      </c>
      <c r="E11" s="31" t="s">
        <v>23</v>
      </c>
      <c r="F11" s="30" t="s">
        <v>101</v>
      </c>
      <c r="G11" s="31" t="s">
        <v>26</v>
      </c>
      <c r="H11" s="30" t="s">
        <v>27</v>
      </c>
      <c r="I11" s="31" t="s">
        <v>148</v>
      </c>
      <c r="J11" s="30" t="s">
        <v>28</v>
      </c>
      <c r="K11" s="30" t="s">
        <v>161</v>
      </c>
      <c r="L11" s="32"/>
      <c r="M11" s="31" t="s">
        <v>40</v>
      </c>
      <c r="N11" s="32" t="s">
        <v>85</v>
      </c>
      <c r="O11" s="33" t="s">
        <v>162</v>
      </c>
      <c r="P11" s="31" t="s">
        <v>30</v>
      </c>
      <c r="Q11" s="30" t="s">
        <v>163</v>
      </c>
    </row>
    <row r="12">
      <c r="A12" s="17" t="s">
        <v>164</v>
      </c>
      <c r="B12" s="17" t="s">
        <v>165</v>
      </c>
      <c r="C12" s="17" t="s">
        <v>166</v>
      </c>
      <c r="D12" s="17" t="s">
        <v>167</v>
      </c>
      <c r="E12" s="17" t="s">
        <v>23</v>
      </c>
      <c r="F12" s="17" t="s">
        <v>72</v>
      </c>
      <c r="G12" s="17" t="s">
        <v>26</v>
      </c>
      <c r="H12" s="17" t="s">
        <v>27</v>
      </c>
      <c r="I12" s="17" t="s">
        <v>168</v>
      </c>
      <c r="J12" s="17" t="s">
        <v>28</v>
      </c>
      <c r="K12" s="17" t="s">
        <v>169</v>
      </c>
      <c r="L12" s="13"/>
      <c r="M12" s="17" t="s">
        <v>40</v>
      </c>
      <c r="N12" s="34">
        <v>46275.0</v>
      </c>
      <c r="O12" s="26" t="s">
        <v>170</v>
      </c>
      <c r="P12" s="17" t="s">
        <v>30</v>
      </c>
      <c r="Q12" s="17" t="s">
        <v>171</v>
      </c>
    </row>
    <row r="13">
      <c r="A13" s="31" t="s">
        <v>172</v>
      </c>
      <c r="B13" s="31" t="s">
        <v>165</v>
      </c>
      <c r="C13" s="31" t="s">
        <v>173</v>
      </c>
      <c r="D13" s="35" t="s">
        <v>174</v>
      </c>
      <c r="E13" s="31" t="s">
        <v>23</v>
      </c>
      <c r="F13" s="31" t="s">
        <v>109</v>
      </c>
      <c r="G13" s="31" t="s">
        <v>47</v>
      </c>
      <c r="H13" s="31" t="s">
        <v>27</v>
      </c>
      <c r="I13" s="31" t="s">
        <v>175</v>
      </c>
      <c r="J13" s="31" t="s">
        <v>28</v>
      </c>
      <c r="K13" s="31" t="s">
        <v>176</v>
      </c>
      <c r="L13" s="30"/>
      <c r="M13" s="31" t="s">
        <v>40</v>
      </c>
      <c r="N13" s="36">
        <v>46275.0</v>
      </c>
      <c r="O13" s="33" t="s">
        <v>177</v>
      </c>
      <c r="P13" s="31" t="s">
        <v>30</v>
      </c>
      <c r="Q13" s="31" t="s">
        <v>178</v>
      </c>
    </row>
    <row r="14">
      <c r="A14" s="17" t="s">
        <v>179</v>
      </c>
      <c r="B14" s="17" t="s">
        <v>165</v>
      </c>
      <c r="C14" s="17" t="s">
        <v>180</v>
      </c>
      <c r="D14" s="17" t="s">
        <v>181</v>
      </c>
      <c r="E14" s="17" t="s">
        <v>23</v>
      </c>
      <c r="F14" s="17" t="s">
        <v>109</v>
      </c>
      <c r="G14" s="17" t="s">
        <v>47</v>
      </c>
      <c r="H14" s="17" t="s">
        <v>27</v>
      </c>
      <c r="I14" s="17"/>
      <c r="J14" s="17" t="s">
        <v>28</v>
      </c>
      <c r="K14" s="17" t="s">
        <v>182</v>
      </c>
      <c r="L14" s="13"/>
      <c r="M14" s="17" t="s">
        <v>40</v>
      </c>
      <c r="N14" s="34">
        <v>46275.0</v>
      </c>
      <c r="O14" s="26" t="s">
        <v>183</v>
      </c>
      <c r="P14" s="17" t="s">
        <v>30</v>
      </c>
      <c r="Q14" s="17" t="s">
        <v>184</v>
      </c>
    </row>
    <row r="15">
      <c r="A15" s="31" t="s">
        <v>185</v>
      </c>
      <c r="B15" s="31" t="s">
        <v>165</v>
      </c>
      <c r="C15" s="31" t="s">
        <v>186</v>
      </c>
      <c r="D15" s="31" t="s">
        <v>187</v>
      </c>
      <c r="E15" s="31" t="s">
        <v>23</v>
      </c>
      <c r="F15" s="31" t="s">
        <v>47</v>
      </c>
      <c r="G15" s="31" t="s">
        <v>47</v>
      </c>
      <c r="H15" s="31" t="s">
        <v>27</v>
      </c>
      <c r="I15" s="31" t="s">
        <v>188</v>
      </c>
      <c r="J15" s="31" t="s">
        <v>28</v>
      </c>
      <c r="K15" s="31" t="s">
        <v>189</v>
      </c>
      <c r="L15" s="30"/>
      <c r="M15" s="31" t="s">
        <v>40</v>
      </c>
      <c r="N15" s="36">
        <v>46275.0</v>
      </c>
      <c r="O15" s="33" t="s">
        <v>190</v>
      </c>
      <c r="P15" s="31" t="s">
        <v>30</v>
      </c>
      <c r="Q15" s="31" t="s">
        <v>191</v>
      </c>
    </row>
    <row r="16">
      <c r="A16" s="17" t="s">
        <v>192</v>
      </c>
      <c r="B16" s="17" t="s">
        <v>165</v>
      </c>
      <c r="C16" s="17" t="s">
        <v>193</v>
      </c>
      <c r="D16" s="17" t="s">
        <v>181</v>
      </c>
      <c r="E16" s="17" t="s">
        <v>23</v>
      </c>
      <c r="F16" s="17" t="s">
        <v>109</v>
      </c>
      <c r="G16" s="17" t="s">
        <v>47</v>
      </c>
      <c r="H16" s="17" t="s">
        <v>27</v>
      </c>
      <c r="I16" s="17" t="s">
        <v>194</v>
      </c>
      <c r="J16" s="17" t="s">
        <v>28</v>
      </c>
      <c r="K16" s="17" t="s">
        <v>103</v>
      </c>
      <c r="L16" s="13"/>
      <c r="M16" s="17" t="s">
        <v>40</v>
      </c>
      <c r="N16" s="34">
        <v>46275.0</v>
      </c>
      <c r="O16" s="26" t="s">
        <v>195</v>
      </c>
      <c r="P16" s="17" t="s">
        <v>30</v>
      </c>
      <c r="Q16" s="17" t="s">
        <v>196</v>
      </c>
    </row>
    <row r="17">
      <c r="A17" s="31" t="s">
        <v>197</v>
      </c>
      <c r="B17" s="31" t="s">
        <v>198</v>
      </c>
      <c r="C17" s="31" t="s">
        <v>199</v>
      </c>
      <c r="D17" s="31" t="s">
        <v>200</v>
      </c>
      <c r="E17" s="31" t="s">
        <v>23</v>
      </c>
      <c r="F17" s="31" t="s">
        <v>101</v>
      </c>
      <c r="G17" s="31" t="s">
        <v>26</v>
      </c>
      <c r="H17" s="31" t="s">
        <v>27</v>
      </c>
      <c r="I17" s="31" t="s">
        <v>201</v>
      </c>
      <c r="J17" s="31" t="s">
        <v>28</v>
      </c>
      <c r="K17" s="31" t="s">
        <v>202</v>
      </c>
      <c r="L17" s="30"/>
      <c r="M17" s="31" t="s">
        <v>40</v>
      </c>
      <c r="N17" s="36">
        <v>46275.0</v>
      </c>
      <c r="O17" s="33" t="s">
        <v>203</v>
      </c>
      <c r="P17" s="31" t="s">
        <v>30</v>
      </c>
      <c r="Q17" s="31" t="s">
        <v>204</v>
      </c>
    </row>
    <row r="18">
      <c r="A18" s="13"/>
      <c r="B18" s="17" t="s">
        <v>205</v>
      </c>
      <c r="C18" s="17" t="s">
        <v>206</v>
      </c>
      <c r="D18" s="17" t="s">
        <v>207</v>
      </c>
      <c r="E18" s="17" t="s">
        <v>23</v>
      </c>
      <c r="F18" s="17" t="s">
        <v>72</v>
      </c>
      <c r="G18" s="17" t="s">
        <v>37</v>
      </c>
      <c r="H18" s="17" t="s">
        <v>27</v>
      </c>
      <c r="I18" s="37" t="s">
        <v>208</v>
      </c>
      <c r="J18" s="17" t="s">
        <v>28</v>
      </c>
      <c r="K18" s="30" t="s">
        <v>103</v>
      </c>
      <c r="L18" s="13"/>
      <c r="M18" s="17" t="s">
        <v>142</v>
      </c>
      <c r="N18" s="34">
        <v>46285.0</v>
      </c>
      <c r="O18" s="38" t="s">
        <v>209</v>
      </c>
      <c r="P18" s="31" t="s">
        <v>30</v>
      </c>
      <c r="Q18" s="37" t="s">
        <v>210</v>
      </c>
    </row>
    <row r="19">
      <c r="A19" s="31" t="s">
        <v>211</v>
      </c>
      <c r="B19" s="31" t="s">
        <v>198</v>
      </c>
      <c r="C19" s="31" t="s">
        <v>212</v>
      </c>
      <c r="D19" s="31" t="s">
        <v>213</v>
      </c>
      <c r="E19" s="31" t="s">
        <v>23</v>
      </c>
      <c r="F19" s="31" t="s">
        <v>101</v>
      </c>
      <c r="G19" s="31" t="s">
        <v>26</v>
      </c>
      <c r="H19" s="31" t="s">
        <v>27</v>
      </c>
      <c r="I19" s="31" t="s">
        <v>214</v>
      </c>
      <c r="J19" s="31" t="s">
        <v>28</v>
      </c>
      <c r="K19" s="31" t="s">
        <v>215</v>
      </c>
      <c r="L19" s="30"/>
      <c r="M19" s="31" t="s">
        <v>40</v>
      </c>
      <c r="N19" s="36">
        <v>46275.0</v>
      </c>
      <c r="O19" s="33" t="s">
        <v>216</v>
      </c>
      <c r="P19" s="31" t="s">
        <v>30</v>
      </c>
      <c r="Q19" s="31" t="s">
        <v>217</v>
      </c>
    </row>
    <row r="20">
      <c r="A20" s="17" t="s">
        <v>218</v>
      </c>
      <c r="B20" s="17" t="s">
        <v>198</v>
      </c>
      <c r="C20" s="17" t="s">
        <v>219</v>
      </c>
      <c r="D20" s="17" t="s">
        <v>220</v>
      </c>
      <c r="E20" s="17" t="s">
        <v>23</v>
      </c>
      <c r="F20" s="17" t="s">
        <v>72</v>
      </c>
      <c r="G20" s="17" t="s">
        <v>26</v>
      </c>
      <c r="H20" s="17" t="s">
        <v>27</v>
      </c>
      <c r="I20" s="17" t="s">
        <v>214</v>
      </c>
      <c r="J20" s="17" t="s">
        <v>28</v>
      </c>
      <c r="K20" s="17" t="s">
        <v>221</v>
      </c>
      <c r="L20" s="13"/>
      <c r="M20" s="17" t="s">
        <v>40</v>
      </c>
      <c r="N20" s="34">
        <v>46275.0</v>
      </c>
      <c r="O20" s="26" t="s">
        <v>222</v>
      </c>
      <c r="P20" s="17" t="s">
        <v>30</v>
      </c>
      <c r="Q20" s="17" t="s">
        <v>223</v>
      </c>
    </row>
    <row r="21" ht="15.75" customHeight="1">
      <c r="A21" s="31" t="s">
        <v>224</v>
      </c>
      <c r="B21" s="31" t="s">
        <v>198</v>
      </c>
      <c r="C21" s="31" t="s">
        <v>225</v>
      </c>
      <c r="D21" s="31" t="s">
        <v>226</v>
      </c>
      <c r="E21" s="31" t="s">
        <v>23</v>
      </c>
      <c r="F21" s="31" t="s">
        <v>227</v>
      </c>
      <c r="G21" s="31" t="s">
        <v>26</v>
      </c>
      <c r="H21" s="31" t="s">
        <v>27</v>
      </c>
      <c r="I21" s="31" t="s">
        <v>214</v>
      </c>
      <c r="J21" s="31" t="s">
        <v>28</v>
      </c>
      <c r="K21" s="31" t="s">
        <v>228</v>
      </c>
      <c r="L21" s="30"/>
      <c r="M21" s="31" t="s">
        <v>40</v>
      </c>
      <c r="N21" s="36">
        <v>46275.0</v>
      </c>
      <c r="O21" s="33" t="s">
        <v>229</v>
      </c>
      <c r="P21" s="31" t="s">
        <v>30</v>
      </c>
      <c r="Q21" s="31" t="s">
        <v>230</v>
      </c>
    </row>
    <row r="22" ht="15.75" customHeight="1">
      <c r="A22" s="17" t="s">
        <v>231</v>
      </c>
      <c r="B22" s="17" t="s">
        <v>198</v>
      </c>
      <c r="C22" s="17" t="s">
        <v>232</v>
      </c>
      <c r="D22" s="17" t="s">
        <v>233</v>
      </c>
      <c r="E22" s="17" t="s">
        <v>23</v>
      </c>
      <c r="F22" s="17" t="s">
        <v>101</v>
      </c>
      <c r="G22" s="17" t="s">
        <v>26</v>
      </c>
      <c r="H22" s="17" t="s">
        <v>27</v>
      </c>
      <c r="I22" s="17" t="s">
        <v>234</v>
      </c>
      <c r="J22" s="17" t="s">
        <v>28</v>
      </c>
      <c r="K22" s="17" t="s">
        <v>235</v>
      </c>
      <c r="L22" s="13"/>
      <c r="M22" s="17" t="s">
        <v>40</v>
      </c>
      <c r="N22" s="34">
        <v>46275.0</v>
      </c>
      <c r="O22" s="26" t="s">
        <v>236</v>
      </c>
      <c r="P22" s="17" t="s">
        <v>30</v>
      </c>
      <c r="Q22" s="17" t="s">
        <v>237</v>
      </c>
    </row>
    <row r="23" ht="15.75" customHeight="1">
      <c r="A23" s="30"/>
      <c r="B23" s="31" t="s">
        <v>205</v>
      </c>
      <c r="C23" s="39" t="s">
        <v>238</v>
      </c>
      <c r="D23" s="31" t="s">
        <v>239</v>
      </c>
      <c r="E23" s="31" t="s">
        <v>23</v>
      </c>
      <c r="F23" s="31" t="s">
        <v>72</v>
      </c>
      <c r="G23" s="31" t="s">
        <v>26</v>
      </c>
      <c r="H23" s="31" t="s">
        <v>27</v>
      </c>
      <c r="I23" s="31" t="s">
        <v>240</v>
      </c>
      <c r="J23" s="31" t="s">
        <v>28</v>
      </c>
      <c r="K23" s="31" t="s">
        <v>134</v>
      </c>
      <c r="L23" s="30"/>
      <c r="M23" s="31" t="s">
        <v>29</v>
      </c>
      <c r="N23" s="36">
        <v>46275.0</v>
      </c>
      <c r="O23" s="40" t="s">
        <v>241</v>
      </c>
      <c r="P23" s="31" t="s">
        <v>30</v>
      </c>
      <c r="Q23" s="41" t="s">
        <v>242</v>
      </c>
    </row>
    <row r="24" ht="15.75" customHeight="1">
      <c r="A24" s="13"/>
      <c r="B24" s="17" t="s">
        <v>205</v>
      </c>
      <c r="C24" s="17" t="s">
        <v>243</v>
      </c>
      <c r="D24" s="17" t="s">
        <v>244</v>
      </c>
      <c r="E24" s="17" t="s">
        <v>23</v>
      </c>
      <c r="F24" s="17" t="s">
        <v>72</v>
      </c>
      <c r="G24" s="17" t="s">
        <v>37</v>
      </c>
      <c r="H24" s="17" t="s">
        <v>27</v>
      </c>
      <c r="I24" s="17" t="s">
        <v>245</v>
      </c>
      <c r="J24" s="17" t="s">
        <v>28</v>
      </c>
      <c r="K24" s="17" t="s">
        <v>103</v>
      </c>
      <c r="L24" s="13"/>
      <c r="M24" s="17" t="s">
        <v>29</v>
      </c>
      <c r="N24" s="34">
        <v>46091.0</v>
      </c>
      <c r="O24" s="38" t="s">
        <v>246</v>
      </c>
      <c r="P24" s="17" t="s">
        <v>30</v>
      </c>
      <c r="Q24" s="17" t="s">
        <v>247</v>
      </c>
    </row>
    <row r="25" ht="15.75" customHeight="1">
      <c r="A25" s="30"/>
      <c r="B25" s="31" t="s">
        <v>205</v>
      </c>
      <c r="C25" s="42" t="s">
        <v>248</v>
      </c>
      <c r="D25" s="31" t="s">
        <v>249</v>
      </c>
      <c r="E25" s="31" t="s">
        <v>23</v>
      </c>
      <c r="F25" s="31" t="s">
        <v>72</v>
      </c>
      <c r="G25" s="31" t="s">
        <v>26</v>
      </c>
      <c r="H25" s="31" t="s">
        <v>27</v>
      </c>
      <c r="I25" s="31" t="s">
        <v>250</v>
      </c>
      <c r="J25" s="31" t="s">
        <v>28</v>
      </c>
      <c r="K25" s="31" t="s">
        <v>103</v>
      </c>
      <c r="L25" s="30"/>
      <c r="M25" s="31" t="s">
        <v>29</v>
      </c>
      <c r="N25" s="36">
        <v>46244.0</v>
      </c>
      <c r="O25" s="40" t="s">
        <v>251</v>
      </c>
      <c r="P25" s="31" t="s">
        <v>30</v>
      </c>
      <c r="Q25" s="31" t="s">
        <v>252</v>
      </c>
    </row>
    <row r="26" ht="15.75" customHeight="1">
      <c r="A26" s="13"/>
      <c r="B26" s="17" t="s">
        <v>253</v>
      </c>
      <c r="C26" s="17" t="s">
        <v>254</v>
      </c>
      <c r="D26" s="17" t="s">
        <v>255</v>
      </c>
      <c r="E26" s="17" t="s">
        <v>23</v>
      </c>
      <c r="F26" s="17" t="s">
        <v>256</v>
      </c>
      <c r="G26" s="17" t="s">
        <v>47</v>
      </c>
      <c r="H26" s="17" t="s">
        <v>27</v>
      </c>
      <c r="I26" s="17" t="s">
        <v>257</v>
      </c>
      <c r="J26" s="17" t="s">
        <v>28</v>
      </c>
      <c r="K26" s="17" t="s">
        <v>103</v>
      </c>
      <c r="L26" s="13"/>
      <c r="M26" s="17" t="s">
        <v>40</v>
      </c>
      <c r="N26" s="34">
        <v>46253.0</v>
      </c>
      <c r="O26" s="38" t="s">
        <v>258</v>
      </c>
      <c r="P26" s="17" t="s">
        <v>30</v>
      </c>
      <c r="Q26" s="17" t="s">
        <v>259</v>
      </c>
    </row>
    <row r="27" ht="15.75" customHeight="1">
      <c r="A27" s="30"/>
      <c r="B27" s="31" t="s">
        <v>253</v>
      </c>
      <c r="C27" s="31" t="s">
        <v>260</v>
      </c>
      <c r="D27" s="43" t="s">
        <v>261</v>
      </c>
      <c r="E27" s="31" t="s">
        <v>43</v>
      </c>
      <c r="F27" s="31" t="s">
        <v>72</v>
      </c>
      <c r="G27" s="31" t="s">
        <v>37</v>
      </c>
      <c r="H27" s="31" t="s">
        <v>27</v>
      </c>
      <c r="I27" s="35" t="s">
        <v>262</v>
      </c>
      <c r="J27" s="31" t="s">
        <v>28</v>
      </c>
      <c r="K27" s="44" t="s">
        <v>263</v>
      </c>
      <c r="L27" s="30"/>
      <c r="M27" s="31" t="s">
        <v>40</v>
      </c>
      <c r="N27" s="36">
        <v>46255.0</v>
      </c>
      <c r="O27" s="33" t="s">
        <v>264</v>
      </c>
      <c r="P27" s="17" t="s">
        <v>30</v>
      </c>
      <c r="Q27" s="35" t="s">
        <v>265</v>
      </c>
      <c r="R27" s="44"/>
    </row>
    <row r="28" ht="15.75" customHeight="1">
      <c r="A28" s="13"/>
      <c r="B28" s="17" t="s">
        <v>253</v>
      </c>
      <c r="C28" s="17" t="s">
        <v>254</v>
      </c>
      <c r="D28" s="45" t="s">
        <v>266</v>
      </c>
      <c r="E28" s="17" t="s">
        <v>23</v>
      </c>
      <c r="F28" s="17" t="s">
        <v>101</v>
      </c>
      <c r="G28" s="17" t="s">
        <v>37</v>
      </c>
      <c r="H28" s="17" t="s">
        <v>27</v>
      </c>
      <c r="I28" s="17" t="s">
        <v>267</v>
      </c>
      <c r="J28" s="17" t="s">
        <v>28</v>
      </c>
      <c r="K28" s="17" t="s">
        <v>103</v>
      </c>
      <c r="L28" s="13"/>
      <c r="M28" s="17" t="s">
        <v>40</v>
      </c>
      <c r="N28" s="34">
        <v>46258.0</v>
      </c>
      <c r="O28" s="46" t="s">
        <v>268</v>
      </c>
      <c r="P28" s="17" t="s">
        <v>30</v>
      </c>
      <c r="Q28" s="17" t="s">
        <v>269</v>
      </c>
    </row>
    <row r="29" ht="15.75" customHeight="1">
      <c r="A29" s="30"/>
      <c r="B29" s="31" t="s">
        <v>205</v>
      </c>
      <c r="C29" s="31" t="s">
        <v>270</v>
      </c>
      <c r="D29" s="31" t="s">
        <v>271</v>
      </c>
      <c r="E29" s="31" t="s">
        <v>23</v>
      </c>
      <c r="F29" s="31" t="s">
        <v>256</v>
      </c>
      <c r="G29" s="31" t="s">
        <v>26</v>
      </c>
      <c r="H29" s="31" t="s">
        <v>27</v>
      </c>
      <c r="I29" s="31" t="s">
        <v>272</v>
      </c>
      <c r="J29" s="31" t="s">
        <v>28</v>
      </c>
      <c r="K29" s="31" t="s">
        <v>103</v>
      </c>
      <c r="L29" s="30"/>
      <c r="M29" s="31" t="s">
        <v>40</v>
      </c>
      <c r="N29" s="31" t="s">
        <v>273</v>
      </c>
      <c r="O29" s="47" t="s">
        <v>274</v>
      </c>
      <c r="P29" s="17" t="s">
        <v>30</v>
      </c>
      <c r="Q29" s="30"/>
    </row>
    <row r="30" ht="15.75" customHeight="1">
      <c r="A30" s="13"/>
      <c r="B30" s="17" t="s">
        <v>253</v>
      </c>
      <c r="C30" s="17" t="s">
        <v>275</v>
      </c>
      <c r="D30" s="17" t="s">
        <v>276</v>
      </c>
      <c r="E30" s="17" t="s">
        <v>34</v>
      </c>
      <c r="F30" s="17" t="s">
        <v>256</v>
      </c>
      <c r="G30" s="17" t="s">
        <v>26</v>
      </c>
      <c r="H30" s="17" t="s">
        <v>27</v>
      </c>
      <c r="I30" s="17" t="s">
        <v>277</v>
      </c>
      <c r="J30" s="17" t="s">
        <v>28</v>
      </c>
      <c r="K30" s="17" t="s">
        <v>278</v>
      </c>
      <c r="L30" s="13"/>
      <c r="M30" s="17" t="s">
        <v>40</v>
      </c>
      <c r="N30" s="34">
        <v>46275.0</v>
      </c>
      <c r="O30" s="38" t="s">
        <v>279</v>
      </c>
      <c r="P30" s="17" t="s">
        <v>30</v>
      </c>
      <c r="Q30" s="13"/>
    </row>
    <row r="31" ht="15.75" customHeight="1">
      <c r="A31" s="30"/>
      <c r="B31" s="31" t="s">
        <v>66</v>
      </c>
      <c r="C31" s="31" t="s">
        <v>280</v>
      </c>
      <c r="D31" s="31" t="s">
        <v>281</v>
      </c>
      <c r="E31" s="31" t="s">
        <v>23</v>
      </c>
      <c r="F31" s="31" t="s">
        <v>72</v>
      </c>
      <c r="G31" s="31" t="s">
        <v>26</v>
      </c>
      <c r="H31" s="31" t="s">
        <v>27</v>
      </c>
      <c r="I31" s="31" t="s">
        <v>282</v>
      </c>
      <c r="J31" s="31" t="s">
        <v>28</v>
      </c>
      <c r="K31" s="31" t="s">
        <v>283</v>
      </c>
      <c r="L31" s="30"/>
      <c r="M31" s="31" t="s">
        <v>40</v>
      </c>
      <c r="N31" s="36">
        <v>46265.0</v>
      </c>
      <c r="O31" s="40" t="s">
        <v>284</v>
      </c>
      <c r="P31" s="31" t="s">
        <v>30</v>
      </c>
      <c r="Q31" s="30"/>
    </row>
    <row r="32" ht="15.75" customHeight="1">
      <c r="A32" s="13"/>
      <c r="B32" s="17" t="s">
        <v>66</v>
      </c>
      <c r="C32" s="17" t="s">
        <v>285</v>
      </c>
      <c r="D32" s="17" t="s">
        <v>286</v>
      </c>
      <c r="E32" s="17" t="s">
        <v>23</v>
      </c>
      <c r="F32" s="17" t="s">
        <v>256</v>
      </c>
      <c r="G32" s="17" t="s">
        <v>26</v>
      </c>
      <c r="H32" s="17" t="s">
        <v>27</v>
      </c>
      <c r="I32" s="17" t="s">
        <v>287</v>
      </c>
      <c r="J32" s="17" t="s">
        <v>28</v>
      </c>
      <c r="K32" s="13"/>
      <c r="L32" s="13"/>
      <c r="M32" s="17" t="s">
        <v>40</v>
      </c>
      <c r="N32" s="34">
        <v>46269.0</v>
      </c>
      <c r="O32" s="38" t="s">
        <v>288</v>
      </c>
      <c r="P32" s="17" t="s">
        <v>30</v>
      </c>
      <c r="Q32" s="17" t="s">
        <v>289</v>
      </c>
    </row>
    <row r="33" ht="15.75" customHeight="1">
      <c r="A33" s="30"/>
      <c r="B33" s="31" t="s">
        <v>66</v>
      </c>
      <c r="C33" s="31" t="s">
        <v>290</v>
      </c>
      <c r="D33" s="31" t="s">
        <v>291</v>
      </c>
      <c r="E33" s="31" t="s">
        <v>23</v>
      </c>
      <c r="F33" s="31" t="s">
        <v>72</v>
      </c>
      <c r="G33" s="31" t="s">
        <v>26</v>
      </c>
      <c r="H33" s="31" t="s">
        <v>27</v>
      </c>
      <c r="I33" s="48" t="s">
        <v>292</v>
      </c>
      <c r="J33" s="31" t="s">
        <v>28</v>
      </c>
      <c r="K33" s="30"/>
      <c r="L33" s="30"/>
      <c r="M33" s="31" t="s">
        <v>29</v>
      </c>
      <c r="N33" s="36">
        <v>46121.0</v>
      </c>
      <c r="O33" s="47" t="s">
        <v>293</v>
      </c>
      <c r="P33" s="17" t="s">
        <v>30</v>
      </c>
      <c r="Q33" s="48" t="s">
        <v>294</v>
      </c>
    </row>
    <row r="34" ht="15.75" customHeight="1">
      <c r="A34" s="13"/>
      <c r="B34" s="17" t="s">
        <v>66</v>
      </c>
      <c r="C34" s="17" t="s">
        <v>295</v>
      </c>
      <c r="D34" s="17" t="s">
        <v>296</v>
      </c>
      <c r="E34" s="17" t="s">
        <v>23</v>
      </c>
      <c r="F34" s="17" t="s">
        <v>109</v>
      </c>
      <c r="G34" s="17" t="s">
        <v>26</v>
      </c>
      <c r="H34" s="17" t="s">
        <v>27</v>
      </c>
      <c r="I34" s="17" t="s">
        <v>297</v>
      </c>
      <c r="J34" s="17" t="s">
        <v>28</v>
      </c>
      <c r="K34" s="13"/>
      <c r="L34" s="13"/>
      <c r="M34" s="17" t="s">
        <v>50</v>
      </c>
      <c r="N34" s="34">
        <v>46290.0</v>
      </c>
      <c r="O34" s="26" t="s">
        <v>298</v>
      </c>
      <c r="P34" s="17" t="s">
        <v>30</v>
      </c>
      <c r="Q34" s="17" t="s">
        <v>299</v>
      </c>
    </row>
    <row r="35" ht="15.75" customHeight="1">
      <c r="A35" s="30"/>
      <c r="B35" s="31" t="s">
        <v>66</v>
      </c>
      <c r="C35" s="31" t="s">
        <v>300</v>
      </c>
      <c r="D35" s="31" t="s">
        <v>301</v>
      </c>
      <c r="E35" s="31" t="s">
        <v>23</v>
      </c>
      <c r="F35" s="31" t="s">
        <v>256</v>
      </c>
      <c r="G35" s="31" t="s">
        <v>37</v>
      </c>
      <c r="H35" s="31" t="s">
        <v>27</v>
      </c>
      <c r="I35" s="31" t="s">
        <v>302</v>
      </c>
      <c r="J35" s="31" t="s">
        <v>28</v>
      </c>
      <c r="K35" s="30"/>
      <c r="L35" s="30"/>
      <c r="M35" s="31" t="s">
        <v>40</v>
      </c>
      <c r="N35" s="36">
        <v>46263.0</v>
      </c>
      <c r="O35" s="40" t="s">
        <v>303</v>
      </c>
      <c r="P35" s="17" t="s">
        <v>30</v>
      </c>
      <c r="Q35" s="31" t="s">
        <v>304</v>
      </c>
    </row>
    <row r="36" ht="15.75" customHeight="1">
      <c r="A36" s="13"/>
      <c r="B36" s="17" t="s">
        <v>66</v>
      </c>
      <c r="C36" s="17" t="s">
        <v>305</v>
      </c>
      <c r="D36" s="17" t="s">
        <v>306</v>
      </c>
      <c r="E36" s="17" t="s">
        <v>23</v>
      </c>
      <c r="F36" s="17" t="s">
        <v>109</v>
      </c>
      <c r="G36" s="17" t="s">
        <v>47</v>
      </c>
      <c r="H36" s="17" t="s">
        <v>27</v>
      </c>
      <c r="I36" s="17" t="s">
        <v>297</v>
      </c>
      <c r="J36" s="17" t="s">
        <v>28</v>
      </c>
      <c r="K36" s="13"/>
      <c r="L36" s="13"/>
      <c r="M36" s="17" t="s">
        <v>62</v>
      </c>
      <c r="N36" s="34">
        <v>46254.0</v>
      </c>
      <c r="O36" s="38" t="s">
        <v>307</v>
      </c>
      <c r="P36" s="17" t="s">
        <v>30</v>
      </c>
      <c r="Q36" s="17" t="s">
        <v>308</v>
      </c>
    </row>
    <row r="37" ht="15.75" customHeight="1">
      <c r="A37" s="30"/>
      <c r="B37" s="31" t="s">
        <v>66</v>
      </c>
      <c r="C37" s="31" t="s">
        <v>309</v>
      </c>
      <c r="D37" s="49" t="s">
        <v>310</v>
      </c>
      <c r="E37" s="31" t="s">
        <v>23</v>
      </c>
      <c r="F37" s="31" t="s">
        <v>109</v>
      </c>
      <c r="G37" s="31" t="s">
        <v>47</v>
      </c>
      <c r="H37" s="31" t="s">
        <v>27</v>
      </c>
      <c r="I37" s="31" t="s">
        <v>311</v>
      </c>
      <c r="J37" s="31" t="s">
        <v>28</v>
      </c>
      <c r="K37" s="30"/>
      <c r="L37" s="30"/>
      <c r="M37" s="31" t="s">
        <v>62</v>
      </c>
      <c r="N37" s="36">
        <v>46252.0</v>
      </c>
      <c r="O37" s="40" t="s">
        <v>312</v>
      </c>
      <c r="P37" s="17" t="s">
        <v>30</v>
      </c>
      <c r="Q37" s="31" t="s">
        <v>313</v>
      </c>
    </row>
    <row r="38" ht="15.75" customHeight="1">
      <c r="A38" s="13"/>
      <c r="B38" s="17" t="s">
        <v>66</v>
      </c>
      <c r="C38" s="17" t="s">
        <v>314</v>
      </c>
      <c r="D38" s="50" t="s">
        <v>315</v>
      </c>
      <c r="E38" s="17" t="s">
        <v>23</v>
      </c>
      <c r="F38" s="17" t="s">
        <v>101</v>
      </c>
      <c r="G38" s="17" t="s">
        <v>47</v>
      </c>
      <c r="H38" s="17" t="s">
        <v>27</v>
      </c>
      <c r="I38" s="51" t="s">
        <v>316</v>
      </c>
      <c r="J38" s="17" t="s">
        <v>28</v>
      </c>
      <c r="K38" s="13"/>
      <c r="L38" s="13"/>
      <c r="M38" s="17" t="s">
        <v>29</v>
      </c>
      <c r="N38" s="34">
        <v>46268.0</v>
      </c>
      <c r="O38" s="46" t="s">
        <v>317</v>
      </c>
      <c r="P38" s="31" t="s">
        <v>30</v>
      </c>
      <c r="Q38" s="51" t="s">
        <v>318</v>
      </c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52"/>
      <c r="J39" s="30"/>
      <c r="K39" s="30"/>
      <c r="L39" s="30"/>
      <c r="M39" s="30"/>
      <c r="N39" s="30"/>
      <c r="O39" s="30"/>
      <c r="P39" s="30"/>
      <c r="Q39" s="30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53"/>
      <c r="J40" s="13"/>
      <c r="K40" s="13"/>
      <c r="L40" s="13"/>
      <c r="M40" s="13"/>
      <c r="N40" s="13"/>
      <c r="O40" s="13"/>
      <c r="P40" s="13"/>
      <c r="Q40" s="13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 ht="15.75" customHeight="1">
      <c r="B151" s="9"/>
      <c r="E151" s="9"/>
      <c r="F151" s="9"/>
      <c r="G151" s="9"/>
      <c r="H151" s="9"/>
      <c r="J151" s="9"/>
      <c r="M151" s="9"/>
      <c r="P151" s="9"/>
    </row>
    <row r="152" ht="15.75" customHeight="1">
      <c r="B152" s="9"/>
      <c r="E152" s="9"/>
      <c r="F152" s="9"/>
      <c r="G152" s="9"/>
      <c r="H152" s="9"/>
      <c r="J152" s="9"/>
      <c r="M152" s="9"/>
      <c r="P152" s="9"/>
    </row>
    <row r="153" ht="15.75" customHeight="1">
      <c r="B153" s="9"/>
      <c r="E153" s="9"/>
      <c r="F153" s="9"/>
      <c r="G153" s="9"/>
      <c r="H153" s="9"/>
      <c r="J153" s="9"/>
      <c r="M153" s="9"/>
      <c r="P153" s="9"/>
    </row>
    <row r="154" ht="15.75" customHeight="1">
      <c r="B154" s="9"/>
      <c r="E154" s="9"/>
      <c r="F154" s="9"/>
      <c r="G154" s="9"/>
      <c r="H154" s="9"/>
      <c r="J154" s="9"/>
      <c r="M154" s="9"/>
      <c r="P154" s="9"/>
    </row>
    <row r="155" ht="15.75" customHeight="1">
      <c r="B155" s="9"/>
      <c r="E155" s="9"/>
      <c r="F155" s="9"/>
      <c r="G155" s="9"/>
      <c r="H155" s="9"/>
      <c r="J155" s="9"/>
      <c r="M155" s="9"/>
      <c r="P155" s="9"/>
    </row>
    <row r="156" ht="15.75" customHeight="1">
      <c r="B156" s="9"/>
      <c r="E156" s="9"/>
      <c r="F156" s="9"/>
      <c r="G156" s="9"/>
      <c r="H156" s="9"/>
      <c r="J156" s="9"/>
      <c r="M156" s="9"/>
      <c r="P156" s="9"/>
    </row>
    <row r="157" ht="15.75" customHeight="1">
      <c r="B157" s="9"/>
      <c r="E157" s="9"/>
      <c r="F157" s="9"/>
      <c r="G157" s="9"/>
      <c r="H157" s="9"/>
      <c r="J157" s="9"/>
      <c r="M157" s="9"/>
      <c r="P157" s="9"/>
    </row>
    <row r="158" ht="15.75" customHeight="1">
      <c r="B158" s="9"/>
      <c r="E158" s="9"/>
      <c r="F158" s="9"/>
      <c r="G158" s="9"/>
      <c r="H158" s="9"/>
      <c r="J158" s="9"/>
      <c r="M158" s="9"/>
      <c r="P158" s="9"/>
    </row>
    <row r="159" ht="15.75" customHeight="1">
      <c r="B159" s="9"/>
      <c r="E159" s="9"/>
      <c r="F159" s="9"/>
      <c r="G159" s="9"/>
      <c r="H159" s="9"/>
      <c r="J159" s="9"/>
      <c r="M159" s="9"/>
      <c r="P159" s="9"/>
    </row>
    <row r="160" ht="15.75" customHeight="1">
      <c r="B160" s="9"/>
      <c r="E160" s="9"/>
      <c r="F160" s="9"/>
      <c r="G160" s="9"/>
      <c r="H160" s="9"/>
      <c r="J160" s="9"/>
      <c r="M160" s="9"/>
      <c r="P160" s="9"/>
    </row>
    <row r="161" ht="15.75" customHeight="1">
      <c r="B161" s="9"/>
      <c r="E161" s="9"/>
      <c r="F161" s="9"/>
      <c r="G161" s="9"/>
      <c r="H161" s="9"/>
      <c r="J161" s="9"/>
      <c r="M161" s="9"/>
      <c r="P161" s="9"/>
    </row>
    <row r="162" ht="15.75" customHeight="1">
      <c r="B162" s="9"/>
      <c r="E162" s="9"/>
      <c r="F162" s="9"/>
      <c r="G162" s="9"/>
      <c r="H162" s="9"/>
      <c r="J162" s="9"/>
      <c r="M162" s="9"/>
      <c r="P162" s="9"/>
    </row>
    <row r="163" ht="15.75" customHeight="1">
      <c r="B163" s="9"/>
      <c r="E163" s="9"/>
      <c r="F163" s="9"/>
      <c r="G163" s="9"/>
      <c r="H163" s="9"/>
      <c r="J163" s="9"/>
      <c r="M163" s="9"/>
      <c r="P163" s="9"/>
    </row>
    <row r="164" ht="15.75" customHeight="1">
      <c r="B164" s="9"/>
      <c r="E164" s="9"/>
      <c r="F164" s="9"/>
      <c r="G164" s="9"/>
      <c r="H164" s="9"/>
      <c r="J164" s="9"/>
      <c r="M164" s="9"/>
      <c r="P164" s="9"/>
    </row>
    <row r="165" ht="15.75" customHeight="1">
      <c r="B165" s="9"/>
      <c r="E165" s="9"/>
      <c r="F165" s="9"/>
      <c r="G165" s="9"/>
      <c r="H165" s="9"/>
      <c r="J165" s="9"/>
      <c r="M165" s="9"/>
      <c r="P165" s="9"/>
    </row>
    <row r="166" ht="15.75" customHeight="1">
      <c r="B166" s="9"/>
      <c r="E166" s="9"/>
      <c r="F166" s="9"/>
      <c r="G166" s="9"/>
      <c r="H166" s="9"/>
      <c r="J166" s="9"/>
      <c r="M166" s="9"/>
      <c r="P166" s="9"/>
    </row>
    <row r="167" ht="15.75" customHeight="1">
      <c r="B167" s="9"/>
      <c r="E167" s="9"/>
      <c r="F167" s="9"/>
      <c r="G167" s="9"/>
      <c r="H167" s="9"/>
      <c r="J167" s="9"/>
      <c r="M167" s="9"/>
      <c r="P167" s="9"/>
    </row>
    <row r="168" ht="15.75" customHeight="1">
      <c r="B168" s="9"/>
      <c r="E168" s="9"/>
      <c r="F168" s="9"/>
      <c r="G168" s="9"/>
      <c r="H168" s="9"/>
      <c r="J168" s="9"/>
      <c r="M168" s="9"/>
      <c r="P168" s="9"/>
    </row>
    <row r="169" ht="15.75" customHeight="1">
      <c r="B169" s="9"/>
      <c r="E169" s="9"/>
      <c r="F169" s="9"/>
      <c r="G169" s="9"/>
      <c r="H169" s="9"/>
      <c r="J169" s="9"/>
      <c r="M169" s="9"/>
      <c r="P169" s="9"/>
    </row>
    <row r="170" ht="15.75" customHeight="1">
      <c r="B170" s="9"/>
      <c r="E170" s="9"/>
      <c r="F170" s="9"/>
      <c r="G170" s="9"/>
      <c r="H170" s="9"/>
      <c r="J170" s="9"/>
      <c r="M170" s="9"/>
      <c r="P170" s="9"/>
    </row>
    <row r="171" ht="15.75" customHeight="1">
      <c r="B171" s="9"/>
      <c r="E171" s="9"/>
      <c r="F171" s="9"/>
      <c r="G171" s="9"/>
      <c r="H171" s="9"/>
      <c r="J171" s="9"/>
      <c r="M171" s="9"/>
      <c r="P171" s="9"/>
    </row>
    <row r="172" ht="15.75" customHeight="1">
      <c r="B172" s="9"/>
      <c r="E172" s="9"/>
      <c r="F172" s="9"/>
      <c r="G172" s="9"/>
      <c r="H172" s="9"/>
      <c r="J172" s="9"/>
      <c r="M172" s="9"/>
      <c r="P172" s="9"/>
    </row>
    <row r="173" ht="15.75" customHeight="1">
      <c r="B173" s="9"/>
      <c r="E173" s="9"/>
      <c r="F173" s="9"/>
      <c r="G173" s="9"/>
      <c r="H173" s="9"/>
      <c r="J173" s="9"/>
      <c r="M173" s="9"/>
      <c r="P173" s="9"/>
    </row>
    <row r="174" ht="15.75" customHeight="1">
      <c r="B174" s="9"/>
      <c r="E174" s="9"/>
      <c r="F174" s="9"/>
      <c r="G174" s="9"/>
      <c r="H174" s="9"/>
      <c r="J174" s="9"/>
      <c r="M174" s="9"/>
      <c r="P174" s="9"/>
    </row>
    <row r="175" ht="15.75" customHeight="1">
      <c r="B175" s="9"/>
      <c r="E175" s="9"/>
      <c r="F175" s="9"/>
      <c r="G175" s="9"/>
      <c r="H175" s="9"/>
      <c r="J175" s="9"/>
      <c r="M175" s="9"/>
      <c r="P175" s="9"/>
    </row>
    <row r="176" ht="15.75" customHeight="1">
      <c r="B176" s="9"/>
      <c r="E176" s="9"/>
      <c r="F176" s="9"/>
      <c r="G176" s="9"/>
      <c r="H176" s="9"/>
      <c r="J176" s="9"/>
      <c r="M176" s="9"/>
      <c r="P176" s="9"/>
    </row>
    <row r="177" ht="15.75" customHeight="1">
      <c r="B177" s="9"/>
      <c r="E177" s="9"/>
      <c r="F177" s="9"/>
      <c r="G177" s="9"/>
      <c r="H177" s="9"/>
      <c r="J177" s="9"/>
      <c r="M177" s="9"/>
      <c r="P177" s="9"/>
    </row>
    <row r="178" ht="15.75" customHeight="1">
      <c r="B178" s="9"/>
      <c r="E178" s="9"/>
      <c r="F178" s="9"/>
      <c r="G178" s="9"/>
      <c r="H178" s="9"/>
      <c r="J178" s="9"/>
      <c r="M178" s="9"/>
      <c r="P178" s="9"/>
    </row>
    <row r="179" ht="15.75" customHeight="1">
      <c r="B179" s="9"/>
      <c r="E179" s="9"/>
      <c r="F179" s="9"/>
      <c r="G179" s="9"/>
      <c r="H179" s="9"/>
      <c r="J179" s="9"/>
      <c r="M179" s="9"/>
      <c r="P179" s="9"/>
    </row>
    <row r="180" ht="15.75" customHeight="1">
      <c r="B180" s="9"/>
      <c r="E180" s="9"/>
      <c r="F180" s="9"/>
      <c r="G180" s="9"/>
      <c r="H180" s="9"/>
      <c r="J180" s="9"/>
      <c r="M180" s="9"/>
      <c r="P180" s="9"/>
    </row>
    <row r="181" ht="15.75" customHeight="1">
      <c r="B181" s="9"/>
      <c r="E181" s="9"/>
      <c r="F181" s="9"/>
      <c r="G181" s="9"/>
      <c r="H181" s="9"/>
      <c r="J181" s="9"/>
      <c r="M181" s="9"/>
      <c r="P181" s="9"/>
    </row>
    <row r="182" ht="15.75" customHeight="1">
      <c r="B182" s="9"/>
      <c r="E182" s="9"/>
      <c r="F182" s="9"/>
      <c r="G182" s="9"/>
      <c r="H182" s="9"/>
      <c r="J182" s="9"/>
      <c r="M182" s="9"/>
      <c r="P182" s="9"/>
    </row>
    <row r="183" ht="15.75" customHeight="1">
      <c r="B183" s="9"/>
      <c r="E183" s="9"/>
      <c r="F183" s="9"/>
      <c r="G183" s="9"/>
      <c r="H183" s="9"/>
      <c r="J183" s="9"/>
      <c r="M183" s="9"/>
      <c r="P183" s="9"/>
    </row>
    <row r="184" ht="15.75" customHeight="1">
      <c r="B184" s="9"/>
      <c r="E184" s="9"/>
      <c r="F184" s="9"/>
      <c r="G184" s="9"/>
      <c r="H184" s="9"/>
      <c r="J184" s="9"/>
      <c r="M184" s="9"/>
      <c r="P184" s="9"/>
    </row>
    <row r="185" ht="15.75" customHeight="1">
      <c r="B185" s="9"/>
      <c r="E185" s="9"/>
      <c r="F185" s="9"/>
      <c r="G185" s="9"/>
      <c r="H185" s="9"/>
      <c r="J185" s="9"/>
      <c r="M185" s="9"/>
      <c r="P185" s="9"/>
    </row>
    <row r="186" ht="15.75" customHeight="1">
      <c r="B186" s="9"/>
      <c r="E186" s="9"/>
      <c r="F186" s="9"/>
      <c r="G186" s="9"/>
      <c r="H186" s="9"/>
      <c r="J186" s="9"/>
      <c r="M186" s="9"/>
      <c r="P186" s="9"/>
    </row>
    <row r="187" ht="15.75" customHeight="1">
      <c r="B187" s="9"/>
      <c r="E187" s="9"/>
      <c r="F187" s="9"/>
      <c r="G187" s="9"/>
      <c r="H187" s="9"/>
      <c r="J187" s="9"/>
      <c r="M187" s="9"/>
      <c r="P187" s="9"/>
    </row>
    <row r="188" ht="15.75" customHeight="1">
      <c r="B188" s="9"/>
      <c r="E188" s="9"/>
      <c r="F188" s="9"/>
      <c r="G188" s="9"/>
      <c r="H188" s="9"/>
      <c r="J188" s="9"/>
      <c r="M188" s="9"/>
      <c r="P188" s="9"/>
    </row>
    <row r="189" ht="15.75" customHeight="1">
      <c r="B189" s="9"/>
      <c r="E189" s="9"/>
      <c r="F189" s="9"/>
      <c r="G189" s="9"/>
      <c r="H189" s="9"/>
      <c r="J189" s="9"/>
      <c r="M189" s="9"/>
      <c r="P189" s="9"/>
    </row>
    <row r="190" ht="15.75" customHeight="1">
      <c r="B190" s="9"/>
      <c r="E190" s="9"/>
      <c r="F190" s="9"/>
      <c r="G190" s="9"/>
      <c r="H190" s="9"/>
      <c r="J190" s="9"/>
      <c r="M190" s="9"/>
      <c r="P190" s="9"/>
    </row>
    <row r="191" ht="15.75" customHeight="1">
      <c r="B191" s="9"/>
      <c r="E191" s="9"/>
      <c r="F191" s="9"/>
      <c r="G191" s="9"/>
      <c r="H191" s="9"/>
      <c r="J191" s="9"/>
      <c r="M191" s="9"/>
      <c r="P191" s="9"/>
    </row>
    <row r="192" ht="15.75" customHeight="1">
      <c r="B192" s="9"/>
      <c r="E192" s="9"/>
      <c r="F192" s="9"/>
      <c r="G192" s="9"/>
      <c r="H192" s="9"/>
      <c r="J192" s="9"/>
      <c r="M192" s="9"/>
      <c r="P192" s="9"/>
    </row>
    <row r="193" ht="15.75" customHeight="1">
      <c r="B193" s="9"/>
      <c r="E193" s="9"/>
      <c r="F193" s="9"/>
      <c r="G193" s="9"/>
      <c r="H193" s="9"/>
      <c r="J193" s="9"/>
      <c r="M193" s="9"/>
      <c r="P193" s="9"/>
    </row>
    <row r="194" ht="15.75" customHeight="1">
      <c r="B194" s="9"/>
      <c r="E194" s="9"/>
      <c r="F194" s="9"/>
      <c r="G194" s="9"/>
      <c r="H194" s="9"/>
      <c r="J194" s="9"/>
      <c r="M194" s="9"/>
      <c r="P194" s="9"/>
    </row>
    <row r="195" ht="15.75" customHeight="1">
      <c r="B195" s="9"/>
      <c r="E195" s="9"/>
      <c r="F195" s="9"/>
      <c r="G195" s="9"/>
      <c r="H195" s="9"/>
      <c r="J195" s="9"/>
      <c r="M195" s="9"/>
      <c r="P195" s="9"/>
    </row>
    <row r="196" ht="15.75" customHeight="1">
      <c r="B196" s="9"/>
      <c r="E196" s="9"/>
      <c r="F196" s="9"/>
      <c r="G196" s="9"/>
      <c r="H196" s="9"/>
      <c r="J196" s="9"/>
      <c r="M196" s="9"/>
      <c r="P196" s="9"/>
    </row>
    <row r="197" ht="15.75" customHeight="1">
      <c r="B197" s="9"/>
      <c r="E197" s="9"/>
      <c r="F197" s="9"/>
      <c r="G197" s="9"/>
      <c r="H197" s="9"/>
      <c r="J197" s="9"/>
      <c r="M197" s="9"/>
      <c r="P197" s="9"/>
    </row>
    <row r="198" ht="15.75" customHeight="1">
      <c r="B198" s="9"/>
      <c r="E198" s="9"/>
      <c r="F198" s="9"/>
      <c r="G198" s="9"/>
      <c r="H198" s="9"/>
      <c r="J198" s="9"/>
      <c r="M198" s="9"/>
      <c r="P198" s="9"/>
    </row>
    <row r="199" ht="15.75" customHeight="1">
      <c r="B199" s="9"/>
      <c r="E199" s="9"/>
      <c r="F199" s="9"/>
      <c r="G199" s="9"/>
      <c r="H199" s="9"/>
      <c r="J199" s="9"/>
      <c r="M199" s="9"/>
      <c r="P199" s="9"/>
    </row>
    <row r="200" ht="15.75" customHeight="1">
      <c r="B200" s="9"/>
      <c r="E200" s="9"/>
      <c r="F200" s="9"/>
      <c r="G200" s="9"/>
      <c r="H200" s="9"/>
      <c r="J200" s="9"/>
      <c r="M200" s="9"/>
      <c r="P200" s="9"/>
    </row>
    <row r="201" ht="15.75" customHeight="1">
      <c r="B201" s="9"/>
      <c r="E201" s="9"/>
      <c r="F201" s="9"/>
      <c r="G201" s="9"/>
      <c r="H201" s="9"/>
      <c r="J201" s="9"/>
      <c r="M201" s="9"/>
      <c r="P201" s="9"/>
    </row>
    <row r="202" ht="15.75" customHeight="1">
      <c r="B202" s="9"/>
      <c r="E202" s="9"/>
      <c r="F202" s="9"/>
      <c r="G202" s="9"/>
      <c r="H202" s="9"/>
      <c r="J202" s="9"/>
      <c r="M202" s="9"/>
      <c r="P202" s="9"/>
    </row>
    <row r="203" ht="15.75" customHeight="1">
      <c r="B203" s="9"/>
      <c r="E203" s="9"/>
      <c r="F203" s="9"/>
      <c r="G203" s="9"/>
      <c r="H203" s="9"/>
      <c r="J203" s="9"/>
      <c r="M203" s="9"/>
      <c r="P203" s="9"/>
    </row>
    <row r="204" ht="15.75" customHeight="1">
      <c r="B204" s="9"/>
      <c r="E204" s="9"/>
      <c r="F204" s="9"/>
      <c r="G204" s="9"/>
      <c r="H204" s="9"/>
      <c r="J204" s="9"/>
      <c r="M204" s="9"/>
      <c r="P204" s="9"/>
    </row>
    <row r="205" ht="15.75" customHeight="1">
      <c r="B205" s="9"/>
      <c r="E205" s="9"/>
      <c r="F205" s="9"/>
      <c r="G205" s="9"/>
      <c r="H205" s="9"/>
      <c r="J205" s="9"/>
      <c r="M205" s="9"/>
      <c r="P205" s="9"/>
    </row>
    <row r="206" ht="15.75" customHeight="1">
      <c r="B206" s="9"/>
      <c r="E206" s="9"/>
      <c r="F206" s="9"/>
      <c r="G206" s="9"/>
      <c r="H206" s="9"/>
      <c r="J206" s="9"/>
      <c r="M206" s="9"/>
      <c r="P206" s="9"/>
    </row>
    <row r="207" ht="15.75" customHeight="1">
      <c r="B207" s="9"/>
      <c r="E207" s="9"/>
      <c r="F207" s="9"/>
      <c r="G207" s="9"/>
      <c r="H207" s="9"/>
      <c r="J207" s="9"/>
      <c r="M207" s="9"/>
      <c r="P207" s="9"/>
    </row>
    <row r="208" ht="15.75" customHeight="1">
      <c r="B208" s="9"/>
      <c r="E208" s="9"/>
      <c r="F208" s="9"/>
      <c r="G208" s="9"/>
      <c r="H208" s="9"/>
      <c r="J208" s="9"/>
      <c r="M208" s="9"/>
      <c r="P208" s="9"/>
    </row>
    <row r="209" ht="15.75" customHeight="1">
      <c r="B209" s="9"/>
      <c r="E209" s="9"/>
      <c r="F209" s="9"/>
      <c r="G209" s="9"/>
      <c r="H209" s="9"/>
      <c r="J209" s="9"/>
      <c r="M209" s="9"/>
      <c r="P209" s="9"/>
    </row>
    <row r="210" ht="15.75" customHeight="1">
      <c r="B210" s="9"/>
      <c r="E210" s="9"/>
      <c r="F210" s="9"/>
      <c r="G210" s="9"/>
      <c r="H210" s="9"/>
      <c r="J210" s="9"/>
      <c r="M210" s="9"/>
      <c r="P210" s="9"/>
    </row>
    <row r="211" ht="15.75" customHeight="1">
      <c r="B211" s="9"/>
      <c r="E211" s="9"/>
      <c r="F211" s="9"/>
      <c r="G211" s="9"/>
      <c r="H211" s="9"/>
      <c r="J211" s="9"/>
      <c r="M211" s="9"/>
      <c r="P211" s="9"/>
    </row>
    <row r="212" ht="15.75" customHeight="1">
      <c r="B212" s="9"/>
      <c r="E212" s="9"/>
      <c r="F212" s="9"/>
      <c r="G212" s="9"/>
      <c r="H212" s="9"/>
      <c r="J212" s="9"/>
      <c r="M212" s="9"/>
      <c r="P212" s="9"/>
    </row>
    <row r="213" ht="15.75" customHeight="1">
      <c r="B213" s="9"/>
      <c r="E213" s="9"/>
      <c r="F213" s="9"/>
      <c r="G213" s="9"/>
      <c r="H213" s="9"/>
      <c r="J213" s="9"/>
      <c r="M213" s="9"/>
      <c r="P213" s="9"/>
    </row>
    <row r="214" ht="15.75" customHeight="1">
      <c r="B214" s="9"/>
      <c r="E214" s="9"/>
      <c r="F214" s="9"/>
      <c r="G214" s="9"/>
      <c r="H214" s="9"/>
      <c r="J214" s="9"/>
      <c r="M214" s="9"/>
      <c r="P214" s="9"/>
    </row>
    <row r="215" ht="15.75" customHeight="1">
      <c r="B215" s="9"/>
      <c r="E215" s="9"/>
      <c r="F215" s="9"/>
      <c r="G215" s="9"/>
      <c r="H215" s="9"/>
      <c r="J215" s="9"/>
      <c r="M215" s="9"/>
      <c r="P215" s="9"/>
    </row>
    <row r="216" ht="15.75" customHeight="1">
      <c r="B216" s="9"/>
      <c r="E216" s="9"/>
      <c r="F216" s="9"/>
      <c r="G216" s="9"/>
      <c r="H216" s="9"/>
      <c r="J216" s="9"/>
      <c r="M216" s="9"/>
      <c r="P216" s="9"/>
    </row>
    <row r="217" ht="15.75" customHeight="1">
      <c r="B217" s="9"/>
      <c r="E217" s="9"/>
      <c r="F217" s="9"/>
      <c r="G217" s="9"/>
      <c r="H217" s="9"/>
      <c r="J217" s="9"/>
      <c r="M217" s="9"/>
      <c r="P217" s="9"/>
    </row>
    <row r="218" ht="15.75" customHeight="1">
      <c r="B218" s="9"/>
      <c r="E218" s="9"/>
      <c r="F218" s="9"/>
      <c r="G218" s="9"/>
      <c r="H218" s="9"/>
      <c r="J218" s="9"/>
      <c r="M218" s="9"/>
      <c r="P218" s="9"/>
    </row>
    <row r="219" ht="15.75" customHeight="1">
      <c r="B219" s="9"/>
      <c r="E219" s="9"/>
      <c r="F219" s="9"/>
      <c r="G219" s="9"/>
      <c r="H219" s="9"/>
      <c r="J219" s="9"/>
      <c r="M219" s="9"/>
      <c r="P219" s="9"/>
    </row>
    <row r="220" ht="15.75" customHeight="1">
      <c r="B220" s="9"/>
      <c r="E220" s="9"/>
      <c r="F220" s="9"/>
      <c r="G220" s="9"/>
      <c r="H220" s="9"/>
      <c r="J220" s="9"/>
      <c r="M220" s="9"/>
      <c r="P220" s="9"/>
    </row>
    <row r="221" ht="15.75" customHeight="1">
      <c r="B221" s="9"/>
      <c r="E221" s="9"/>
      <c r="F221" s="9"/>
      <c r="G221" s="9"/>
      <c r="H221" s="9"/>
      <c r="J221" s="9"/>
      <c r="M221" s="9"/>
      <c r="P221" s="9"/>
    </row>
    <row r="222" ht="15.75" customHeight="1">
      <c r="B222" s="9"/>
      <c r="E222" s="9"/>
      <c r="F222" s="9"/>
      <c r="G222" s="9"/>
      <c r="H222" s="9"/>
      <c r="J222" s="9"/>
      <c r="M222" s="9"/>
      <c r="P222" s="9"/>
    </row>
    <row r="223" ht="15.75" customHeight="1">
      <c r="B223" s="9"/>
      <c r="E223" s="9"/>
      <c r="F223" s="9"/>
      <c r="G223" s="9"/>
      <c r="H223" s="9"/>
      <c r="J223" s="9"/>
      <c r="M223" s="9"/>
      <c r="P223" s="9"/>
    </row>
    <row r="224" ht="15.75" customHeight="1">
      <c r="B224" s="9"/>
      <c r="E224" s="9"/>
      <c r="F224" s="9"/>
      <c r="G224" s="9"/>
      <c r="H224" s="9"/>
      <c r="J224" s="9"/>
      <c r="M224" s="9"/>
      <c r="P224" s="9"/>
    </row>
    <row r="225" ht="15.75" customHeight="1">
      <c r="B225" s="9"/>
      <c r="E225" s="9"/>
      <c r="F225" s="9"/>
      <c r="G225" s="9"/>
      <c r="H225" s="9"/>
      <c r="J225" s="9"/>
      <c r="M225" s="9"/>
      <c r="P225" s="9"/>
    </row>
    <row r="226" ht="15.75" customHeight="1">
      <c r="B226" s="9"/>
      <c r="E226" s="9"/>
      <c r="F226" s="9"/>
      <c r="G226" s="9"/>
      <c r="H226" s="9"/>
      <c r="J226" s="9"/>
      <c r="M226" s="9"/>
      <c r="P226" s="9"/>
    </row>
    <row r="227" ht="15.75" customHeight="1">
      <c r="B227" s="9"/>
      <c r="E227" s="9"/>
      <c r="F227" s="9"/>
      <c r="G227" s="9"/>
      <c r="H227" s="9"/>
      <c r="J227" s="9"/>
      <c r="M227" s="9"/>
      <c r="P227" s="9"/>
    </row>
    <row r="228" ht="15.75" customHeight="1">
      <c r="B228" s="9"/>
      <c r="E228" s="9"/>
      <c r="F228" s="9"/>
      <c r="G228" s="9"/>
      <c r="H228" s="9"/>
      <c r="J228" s="9"/>
      <c r="M228" s="9"/>
      <c r="P228" s="9"/>
    </row>
    <row r="229" ht="15.75" customHeight="1">
      <c r="B229" s="9"/>
      <c r="E229" s="9"/>
      <c r="F229" s="9"/>
      <c r="G229" s="9"/>
      <c r="H229" s="9"/>
      <c r="J229" s="9"/>
      <c r="M229" s="9"/>
      <c r="P229" s="9"/>
    </row>
    <row r="230" ht="15.75" customHeight="1">
      <c r="B230" s="9"/>
      <c r="E230" s="9"/>
      <c r="F230" s="9"/>
      <c r="G230" s="9"/>
      <c r="H230" s="9"/>
      <c r="J230" s="9"/>
      <c r="M230" s="9"/>
      <c r="P230" s="9"/>
    </row>
    <row r="231" ht="15.75" customHeight="1">
      <c r="B231" s="9"/>
      <c r="E231" s="9"/>
      <c r="F231" s="9"/>
      <c r="G231" s="9"/>
      <c r="H231" s="9"/>
      <c r="J231" s="9"/>
      <c r="M231" s="9"/>
      <c r="P231" s="9"/>
    </row>
    <row r="232" ht="15.75" customHeight="1">
      <c r="B232" s="9"/>
      <c r="E232" s="9"/>
      <c r="F232" s="9"/>
      <c r="G232" s="9"/>
      <c r="H232" s="9"/>
      <c r="J232" s="9"/>
      <c r="M232" s="9"/>
      <c r="P232" s="9"/>
    </row>
    <row r="233" ht="15.75" customHeight="1">
      <c r="B233" s="9"/>
      <c r="E233" s="9"/>
      <c r="F233" s="9"/>
      <c r="G233" s="9"/>
      <c r="H233" s="9"/>
      <c r="J233" s="9"/>
      <c r="M233" s="9"/>
      <c r="P233" s="9"/>
    </row>
    <row r="234" ht="15.75" customHeight="1">
      <c r="B234" s="9"/>
      <c r="E234" s="9"/>
      <c r="F234" s="9"/>
      <c r="G234" s="9"/>
      <c r="H234" s="9"/>
      <c r="J234" s="9"/>
      <c r="M234" s="9"/>
      <c r="P234" s="9"/>
    </row>
    <row r="235" ht="15.75" customHeight="1">
      <c r="B235" s="9"/>
      <c r="E235" s="9"/>
      <c r="F235" s="9"/>
      <c r="G235" s="9"/>
      <c r="H235" s="9"/>
      <c r="J235" s="9"/>
      <c r="M235" s="9"/>
      <c r="P235" s="9"/>
    </row>
    <row r="236" ht="15.75" customHeight="1">
      <c r="B236" s="9"/>
      <c r="E236" s="9"/>
      <c r="F236" s="9"/>
      <c r="G236" s="9"/>
      <c r="H236" s="9"/>
      <c r="J236" s="9"/>
      <c r="M236" s="9"/>
      <c r="P236" s="9"/>
    </row>
    <row r="237" ht="15.75" customHeight="1">
      <c r="B237" s="9"/>
      <c r="E237" s="9"/>
      <c r="F237" s="9"/>
      <c r="G237" s="9"/>
      <c r="H237" s="9"/>
      <c r="J237" s="9"/>
      <c r="M237" s="9"/>
      <c r="P237" s="9"/>
    </row>
    <row r="238" ht="15.75" customHeight="1">
      <c r="B238" s="9"/>
      <c r="E238" s="9"/>
      <c r="F238" s="9"/>
      <c r="G238" s="9"/>
      <c r="H238" s="9"/>
      <c r="J238" s="9"/>
      <c r="M238" s="9"/>
      <c r="P238" s="9"/>
    </row>
    <row r="239" ht="15.75" customHeight="1">
      <c r="B239" s="9"/>
      <c r="E239" s="9"/>
      <c r="F239" s="9"/>
      <c r="G239" s="9"/>
      <c r="H239" s="9"/>
      <c r="J239" s="9"/>
      <c r="M239" s="9"/>
      <c r="P239" s="9"/>
    </row>
    <row r="240" ht="15.75" customHeight="1">
      <c r="B240" s="9"/>
      <c r="E240" s="9"/>
      <c r="F240" s="9"/>
      <c r="G240" s="9"/>
      <c r="H240" s="9"/>
      <c r="J240" s="9"/>
      <c r="M240" s="9"/>
      <c r="P240" s="9"/>
    </row>
    <row r="241" ht="15.75" customHeight="1">
      <c r="B241" s="9"/>
      <c r="E241" s="9"/>
      <c r="F241" s="9"/>
      <c r="G241" s="9"/>
      <c r="H241" s="9"/>
      <c r="J241" s="9"/>
      <c r="M241" s="9"/>
      <c r="P241" s="9"/>
    </row>
    <row r="242" ht="15.75" customHeight="1">
      <c r="B242" s="9"/>
      <c r="E242" s="9"/>
      <c r="F242" s="9"/>
      <c r="G242" s="9"/>
      <c r="H242" s="9"/>
      <c r="J242" s="9"/>
      <c r="M242" s="9"/>
      <c r="P242" s="9"/>
    </row>
    <row r="243" ht="15.75" customHeight="1">
      <c r="B243" s="9"/>
      <c r="E243" s="9"/>
      <c r="F243" s="9"/>
      <c r="G243" s="9"/>
      <c r="H243" s="9"/>
      <c r="J243" s="9"/>
      <c r="M243" s="9"/>
      <c r="P243" s="9"/>
    </row>
    <row r="244" ht="15.75" customHeight="1">
      <c r="B244" s="9"/>
      <c r="E244" s="9"/>
      <c r="F244" s="9"/>
      <c r="G244" s="9"/>
      <c r="H244" s="9"/>
      <c r="J244" s="9"/>
      <c r="M244" s="9"/>
      <c r="P244" s="9"/>
    </row>
    <row r="245" ht="15.75" customHeight="1">
      <c r="B245" s="9"/>
      <c r="E245" s="9"/>
      <c r="F245" s="9"/>
      <c r="G245" s="9"/>
      <c r="H245" s="9"/>
      <c r="J245" s="9"/>
      <c r="M245" s="9"/>
      <c r="P245" s="9"/>
    </row>
    <row r="246" ht="15.75" customHeight="1">
      <c r="B246" s="9"/>
      <c r="E246" s="9"/>
      <c r="F246" s="9"/>
      <c r="G246" s="9"/>
      <c r="H246" s="9"/>
      <c r="J246" s="9"/>
      <c r="M246" s="9"/>
      <c r="P246" s="9"/>
    </row>
    <row r="247" ht="15.75" customHeight="1">
      <c r="B247" s="9"/>
      <c r="E247" s="9"/>
      <c r="F247" s="9"/>
      <c r="G247" s="9"/>
      <c r="H247" s="9"/>
      <c r="J247" s="9"/>
      <c r="M247" s="9"/>
      <c r="P247" s="9"/>
    </row>
    <row r="248" ht="15.75" customHeight="1">
      <c r="B248" s="9"/>
      <c r="E248" s="9"/>
      <c r="F248" s="9"/>
      <c r="G248" s="9"/>
      <c r="H248" s="9"/>
      <c r="J248" s="9"/>
      <c r="M248" s="9"/>
      <c r="P248" s="9"/>
    </row>
    <row r="249" ht="15.75" customHeight="1">
      <c r="B249" s="9"/>
      <c r="E249" s="9"/>
      <c r="F249" s="9"/>
      <c r="G249" s="9"/>
      <c r="H249" s="9"/>
      <c r="J249" s="9"/>
      <c r="M249" s="9"/>
      <c r="P249" s="9"/>
    </row>
    <row r="250" ht="15.75" customHeight="1">
      <c r="B250" s="9"/>
      <c r="E250" s="9"/>
      <c r="F250" s="9"/>
      <c r="G250" s="9"/>
      <c r="H250" s="9"/>
      <c r="J250" s="9"/>
      <c r="M250" s="9"/>
      <c r="P250" s="9"/>
    </row>
    <row r="251" ht="15.75" customHeight="1">
      <c r="B251" s="9"/>
      <c r="E251" s="9"/>
      <c r="F251" s="9"/>
      <c r="G251" s="9"/>
      <c r="H251" s="9"/>
      <c r="J251" s="9"/>
      <c r="M251" s="9"/>
      <c r="P251" s="9"/>
    </row>
    <row r="252" ht="15.75" customHeight="1">
      <c r="B252" s="9"/>
      <c r="E252" s="9"/>
      <c r="F252" s="9"/>
      <c r="G252" s="9"/>
      <c r="H252" s="9"/>
      <c r="J252" s="9"/>
      <c r="M252" s="9"/>
      <c r="P252" s="9"/>
    </row>
    <row r="253" ht="15.75" customHeight="1">
      <c r="B253" s="9"/>
      <c r="E253" s="9"/>
      <c r="F253" s="9"/>
      <c r="G253" s="9"/>
      <c r="H253" s="9"/>
      <c r="J253" s="9"/>
      <c r="M253" s="9"/>
      <c r="P253" s="9"/>
    </row>
    <row r="254" ht="15.75" customHeight="1">
      <c r="B254" s="9"/>
      <c r="E254" s="9"/>
      <c r="F254" s="9"/>
      <c r="G254" s="9"/>
      <c r="H254" s="9"/>
      <c r="J254" s="9"/>
      <c r="M254" s="9"/>
      <c r="P254" s="9"/>
    </row>
    <row r="255" ht="15.75" customHeight="1">
      <c r="B255" s="9"/>
      <c r="E255" s="9"/>
      <c r="F255" s="9"/>
      <c r="G255" s="9"/>
      <c r="H255" s="9"/>
      <c r="J255" s="9"/>
      <c r="M255" s="9"/>
      <c r="P255" s="9"/>
    </row>
    <row r="256" ht="15.75" customHeight="1">
      <c r="B256" s="9"/>
      <c r="E256" s="9"/>
      <c r="F256" s="9"/>
      <c r="G256" s="9"/>
      <c r="H256" s="9"/>
      <c r="J256" s="9"/>
      <c r="M256" s="9"/>
      <c r="P256" s="9"/>
    </row>
    <row r="257" ht="15.75" customHeight="1">
      <c r="B257" s="9"/>
      <c r="E257" s="9"/>
      <c r="F257" s="9"/>
      <c r="G257" s="9"/>
      <c r="H257" s="9"/>
      <c r="J257" s="9"/>
      <c r="M257" s="9"/>
      <c r="P257" s="9"/>
    </row>
    <row r="258" ht="15.75" customHeight="1">
      <c r="B258" s="9"/>
      <c r="E258" s="9"/>
      <c r="F258" s="9"/>
      <c r="G258" s="9"/>
      <c r="H258" s="9"/>
      <c r="J258" s="9"/>
      <c r="M258" s="9"/>
      <c r="P258" s="9"/>
    </row>
    <row r="259" ht="15.75" customHeight="1">
      <c r="B259" s="9"/>
      <c r="E259" s="9"/>
      <c r="F259" s="9"/>
      <c r="G259" s="9"/>
      <c r="H259" s="9"/>
      <c r="J259" s="9"/>
      <c r="M259" s="9"/>
      <c r="P259" s="9"/>
    </row>
    <row r="260" ht="15.75" customHeight="1">
      <c r="B260" s="9"/>
      <c r="E260" s="9"/>
      <c r="F260" s="9"/>
      <c r="G260" s="9"/>
      <c r="H260" s="9"/>
      <c r="J260" s="9"/>
      <c r="M260" s="9"/>
      <c r="P260" s="9"/>
    </row>
    <row r="261" ht="15.75" customHeight="1">
      <c r="B261" s="9"/>
      <c r="E261" s="9"/>
      <c r="F261" s="9"/>
      <c r="G261" s="9"/>
      <c r="H261" s="9"/>
      <c r="J261" s="9"/>
      <c r="M261" s="9"/>
      <c r="P261" s="9"/>
    </row>
    <row r="262" ht="15.75" customHeight="1">
      <c r="B262" s="9"/>
      <c r="E262" s="9"/>
      <c r="F262" s="9"/>
      <c r="G262" s="9"/>
      <c r="H262" s="9"/>
      <c r="J262" s="9"/>
      <c r="M262" s="9"/>
      <c r="P262" s="9"/>
    </row>
    <row r="263" ht="15.75" customHeight="1">
      <c r="B263" s="9"/>
      <c r="E263" s="9"/>
      <c r="F263" s="9"/>
      <c r="G263" s="9"/>
      <c r="H263" s="9"/>
      <c r="J263" s="9"/>
      <c r="M263" s="9"/>
      <c r="P263" s="9"/>
    </row>
    <row r="264" ht="15.75" customHeight="1">
      <c r="B264" s="9"/>
      <c r="E264" s="9"/>
      <c r="F264" s="9"/>
      <c r="G264" s="9"/>
      <c r="H264" s="9"/>
      <c r="J264" s="9"/>
      <c r="M264" s="9"/>
      <c r="P264" s="9"/>
    </row>
    <row r="265" ht="15.75" customHeight="1">
      <c r="B265" s="9"/>
      <c r="E265" s="9"/>
      <c r="F265" s="9"/>
      <c r="G265" s="9"/>
      <c r="H265" s="9"/>
      <c r="J265" s="9"/>
      <c r="M265" s="9"/>
      <c r="P265" s="9"/>
    </row>
    <row r="266" ht="15.75" customHeight="1">
      <c r="B266" s="9"/>
      <c r="E266" s="9"/>
      <c r="F266" s="9"/>
      <c r="G266" s="9"/>
      <c r="H266" s="9"/>
      <c r="J266" s="9"/>
      <c r="M266" s="9"/>
      <c r="P266" s="9"/>
    </row>
    <row r="267" ht="15.75" customHeight="1">
      <c r="B267" s="9"/>
      <c r="E267" s="9"/>
      <c r="F267" s="9"/>
      <c r="G267" s="9"/>
      <c r="H267" s="9"/>
      <c r="J267" s="9"/>
      <c r="M267" s="9"/>
      <c r="P267" s="9"/>
    </row>
    <row r="268" ht="15.75" customHeight="1">
      <c r="B268" s="9"/>
      <c r="E268" s="9"/>
      <c r="F268" s="9"/>
      <c r="G268" s="9"/>
      <c r="H268" s="9"/>
      <c r="J268" s="9"/>
      <c r="M268" s="9"/>
      <c r="P268" s="9"/>
    </row>
    <row r="269" ht="15.75" customHeight="1">
      <c r="B269" s="9"/>
      <c r="E269" s="9"/>
      <c r="F269" s="9"/>
      <c r="G269" s="9"/>
      <c r="H269" s="9"/>
      <c r="J269" s="9"/>
      <c r="M269" s="9"/>
      <c r="P269" s="9"/>
    </row>
    <row r="270" ht="15.75" customHeight="1">
      <c r="B270" s="9"/>
      <c r="E270" s="9"/>
      <c r="F270" s="9"/>
      <c r="G270" s="9"/>
      <c r="H270" s="9"/>
      <c r="J270" s="9"/>
      <c r="M270" s="9"/>
      <c r="P270" s="9"/>
    </row>
    <row r="271" ht="15.75" customHeight="1">
      <c r="B271" s="9"/>
      <c r="E271" s="9"/>
      <c r="F271" s="9"/>
      <c r="G271" s="9"/>
      <c r="H271" s="9"/>
      <c r="J271" s="9"/>
      <c r="M271" s="9"/>
      <c r="P271" s="9"/>
    </row>
    <row r="272" ht="15.75" customHeight="1">
      <c r="B272" s="9"/>
      <c r="E272" s="9"/>
      <c r="F272" s="9"/>
      <c r="G272" s="9"/>
      <c r="H272" s="9"/>
      <c r="J272" s="9"/>
      <c r="M272" s="9"/>
      <c r="P272" s="9"/>
    </row>
    <row r="273" ht="15.75" customHeight="1">
      <c r="B273" s="9"/>
      <c r="E273" s="9"/>
      <c r="F273" s="9"/>
      <c r="G273" s="9"/>
      <c r="H273" s="9"/>
      <c r="J273" s="9"/>
      <c r="M273" s="9"/>
      <c r="P273" s="9"/>
    </row>
    <row r="274" ht="15.75" customHeight="1">
      <c r="B274" s="9"/>
      <c r="E274" s="9"/>
      <c r="F274" s="9"/>
      <c r="G274" s="9"/>
      <c r="H274" s="9"/>
      <c r="J274" s="9"/>
      <c r="M274" s="9"/>
      <c r="P274" s="9"/>
    </row>
    <row r="275" ht="15.75" customHeight="1">
      <c r="B275" s="9"/>
      <c r="E275" s="9"/>
      <c r="F275" s="9"/>
      <c r="G275" s="9"/>
      <c r="H275" s="9"/>
      <c r="J275" s="9"/>
      <c r="M275" s="9"/>
      <c r="P275" s="9"/>
    </row>
    <row r="276" ht="15.75" customHeight="1">
      <c r="B276" s="9"/>
      <c r="E276" s="9"/>
      <c r="F276" s="9"/>
      <c r="G276" s="9"/>
      <c r="H276" s="9"/>
      <c r="J276" s="9"/>
      <c r="M276" s="9"/>
      <c r="P276" s="9"/>
    </row>
    <row r="277" ht="15.75" customHeight="1">
      <c r="B277" s="9"/>
      <c r="E277" s="9"/>
      <c r="F277" s="9"/>
      <c r="G277" s="9"/>
      <c r="H277" s="9"/>
      <c r="J277" s="9"/>
      <c r="M277" s="9"/>
      <c r="P277" s="9"/>
    </row>
    <row r="278" ht="15.75" customHeight="1">
      <c r="B278" s="9"/>
      <c r="E278" s="9"/>
      <c r="F278" s="9"/>
      <c r="G278" s="9"/>
      <c r="H278" s="9"/>
      <c r="J278" s="9"/>
      <c r="M278" s="9"/>
      <c r="P278" s="9"/>
    </row>
    <row r="279" ht="15.75" customHeight="1">
      <c r="B279" s="9"/>
      <c r="E279" s="9"/>
      <c r="F279" s="9"/>
      <c r="G279" s="9"/>
      <c r="H279" s="9"/>
      <c r="J279" s="9"/>
      <c r="M279" s="9"/>
      <c r="P279" s="9"/>
    </row>
    <row r="280" ht="15.75" customHeight="1">
      <c r="B280" s="9"/>
      <c r="E280" s="9"/>
      <c r="F280" s="9"/>
      <c r="G280" s="9"/>
      <c r="H280" s="9"/>
      <c r="J280" s="9"/>
      <c r="M280" s="9"/>
      <c r="P280" s="9"/>
    </row>
    <row r="281" ht="15.75" customHeight="1">
      <c r="B281" s="9"/>
      <c r="E281" s="9"/>
      <c r="F281" s="9"/>
      <c r="G281" s="9"/>
      <c r="H281" s="9"/>
      <c r="J281" s="9"/>
      <c r="M281" s="9"/>
      <c r="P281" s="9"/>
    </row>
    <row r="282" ht="15.75" customHeight="1">
      <c r="B282" s="9"/>
      <c r="E282" s="9"/>
      <c r="F282" s="9"/>
      <c r="G282" s="9"/>
      <c r="H282" s="9"/>
      <c r="J282" s="9"/>
      <c r="M282" s="9"/>
      <c r="P282" s="9"/>
    </row>
    <row r="283" ht="15.75" customHeight="1">
      <c r="B283" s="9"/>
      <c r="E283" s="9"/>
      <c r="F283" s="9"/>
      <c r="G283" s="9"/>
      <c r="H283" s="9"/>
      <c r="J283" s="9"/>
      <c r="M283" s="9"/>
      <c r="P283" s="9"/>
    </row>
    <row r="284" ht="15.75" customHeight="1">
      <c r="B284" s="9"/>
      <c r="E284" s="9"/>
      <c r="F284" s="9"/>
      <c r="G284" s="9"/>
      <c r="H284" s="9"/>
      <c r="J284" s="9"/>
      <c r="M284" s="9"/>
      <c r="P284" s="9"/>
    </row>
    <row r="285" ht="15.75" customHeight="1">
      <c r="B285" s="9"/>
      <c r="E285" s="9"/>
      <c r="F285" s="9"/>
      <c r="G285" s="9"/>
      <c r="H285" s="9"/>
      <c r="J285" s="9"/>
      <c r="M285" s="9"/>
      <c r="P285" s="9"/>
    </row>
    <row r="286" ht="15.75" customHeight="1">
      <c r="B286" s="9"/>
      <c r="E286" s="9"/>
      <c r="F286" s="9"/>
      <c r="G286" s="9"/>
      <c r="H286" s="9"/>
      <c r="J286" s="9"/>
      <c r="M286" s="9"/>
      <c r="P286" s="9"/>
    </row>
    <row r="287" ht="15.75" customHeight="1">
      <c r="B287" s="9"/>
      <c r="E287" s="9"/>
      <c r="F287" s="9"/>
      <c r="G287" s="9"/>
      <c r="H287" s="9"/>
      <c r="J287" s="9"/>
      <c r="M287" s="9"/>
      <c r="P287" s="9"/>
    </row>
    <row r="288" ht="15.75" customHeight="1">
      <c r="B288" s="9"/>
      <c r="E288" s="9"/>
      <c r="F288" s="9"/>
      <c r="G288" s="9"/>
      <c r="H288" s="9"/>
      <c r="J288" s="9"/>
      <c r="M288" s="9"/>
      <c r="P288" s="9"/>
    </row>
    <row r="289" ht="15.75" customHeight="1">
      <c r="B289" s="9"/>
      <c r="E289" s="9"/>
      <c r="F289" s="9"/>
      <c r="G289" s="9"/>
      <c r="H289" s="9"/>
      <c r="J289" s="9"/>
      <c r="M289" s="9"/>
      <c r="P289" s="9"/>
    </row>
    <row r="290" ht="15.75" customHeight="1">
      <c r="B290" s="9"/>
      <c r="E290" s="9"/>
      <c r="F290" s="9"/>
      <c r="G290" s="9"/>
      <c r="H290" s="9"/>
      <c r="J290" s="9"/>
      <c r="M290" s="9"/>
      <c r="P290" s="9"/>
    </row>
    <row r="291" ht="15.75" customHeight="1">
      <c r="B291" s="9"/>
      <c r="E291" s="9"/>
      <c r="F291" s="9"/>
      <c r="G291" s="9"/>
      <c r="H291" s="9"/>
      <c r="J291" s="9"/>
      <c r="M291" s="9"/>
      <c r="P291" s="9"/>
    </row>
    <row r="292" ht="15.75" customHeight="1">
      <c r="B292" s="9"/>
      <c r="E292" s="9"/>
      <c r="F292" s="9"/>
      <c r="G292" s="9"/>
      <c r="H292" s="9"/>
      <c r="J292" s="9"/>
      <c r="M292" s="9"/>
      <c r="P292" s="9"/>
    </row>
    <row r="293" ht="15.75" customHeight="1">
      <c r="B293" s="9"/>
      <c r="E293" s="9"/>
      <c r="F293" s="9"/>
      <c r="G293" s="9"/>
      <c r="H293" s="9"/>
      <c r="J293" s="9"/>
      <c r="M293" s="9"/>
      <c r="P293" s="9"/>
    </row>
    <row r="294" ht="15.75" customHeight="1">
      <c r="B294" s="9"/>
      <c r="E294" s="9"/>
      <c r="F294" s="9"/>
      <c r="G294" s="9"/>
      <c r="H294" s="9"/>
      <c r="J294" s="9"/>
      <c r="M294" s="9"/>
      <c r="P294" s="9"/>
    </row>
    <row r="295" ht="15.75" customHeight="1">
      <c r="B295" s="9"/>
      <c r="E295" s="9"/>
      <c r="F295" s="9"/>
      <c r="G295" s="9"/>
      <c r="H295" s="9"/>
      <c r="J295" s="9"/>
      <c r="M295" s="9"/>
      <c r="P295" s="9"/>
    </row>
    <row r="296" ht="15.75" customHeight="1">
      <c r="B296" s="9"/>
      <c r="E296" s="9"/>
      <c r="F296" s="9"/>
      <c r="G296" s="9"/>
      <c r="H296" s="9"/>
      <c r="J296" s="9"/>
      <c r="M296" s="9"/>
      <c r="P296" s="9"/>
    </row>
    <row r="297" ht="15.75" customHeight="1">
      <c r="B297" s="9"/>
      <c r="E297" s="9"/>
      <c r="F297" s="9"/>
      <c r="G297" s="9"/>
      <c r="H297" s="9"/>
      <c r="J297" s="9"/>
      <c r="M297" s="9"/>
      <c r="P297" s="9"/>
    </row>
    <row r="298" ht="15.75" customHeight="1">
      <c r="B298" s="9"/>
      <c r="E298" s="9"/>
      <c r="F298" s="9"/>
      <c r="G298" s="9"/>
      <c r="H298" s="9"/>
      <c r="J298" s="9"/>
      <c r="M298" s="9"/>
      <c r="P298" s="9"/>
    </row>
    <row r="299" ht="15.75" customHeight="1">
      <c r="B299" s="9"/>
      <c r="E299" s="9"/>
      <c r="F299" s="9"/>
      <c r="G299" s="9"/>
      <c r="H299" s="9"/>
      <c r="J299" s="9"/>
      <c r="M299" s="9"/>
      <c r="P299" s="9"/>
    </row>
    <row r="300" ht="15.75" customHeight="1">
      <c r="B300" s="9"/>
      <c r="E300" s="9"/>
      <c r="F300" s="9"/>
      <c r="G300" s="9"/>
      <c r="H300" s="9"/>
      <c r="J300" s="9"/>
      <c r="M300" s="9"/>
      <c r="P300" s="9"/>
    </row>
    <row r="301" ht="15.75" customHeight="1">
      <c r="B301" s="9"/>
      <c r="E301" s="9"/>
      <c r="F301" s="9"/>
      <c r="G301" s="9"/>
      <c r="H301" s="9"/>
      <c r="J301" s="9"/>
      <c r="M301" s="9"/>
      <c r="P301" s="9"/>
    </row>
    <row r="302" ht="15.75" customHeight="1">
      <c r="B302" s="9"/>
      <c r="E302" s="9"/>
      <c r="F302" s="9"/>
      <c r="G302" s="9"/>
      <c r="H302" s="9"/>
      <c r="J302" s="9"/>
      <c r="M302" s="9"/>
      <c r="P302" s="9"/>
    </row>
    <row r="303" ht="15.75" customHeight="1">
      <c r="B303" s="9"/>
      <c r="E303" s="9"/>
      <c r="F303" s="9"/>
      <c r="G303" s="9"/>
      <c r="H303" s="9"/>
      <c r="J303" s="9"/>
      <c r="M303" s="9"/>
      <c r="P303" s="9"/>
    </row>
    <row r="304" ht="15.75" customHeight="1">
      <c r="B304" s="9"/>
      <c r="E304" s="9"/>
      <c r="F304" s="9"/>
      <c r="G304" s="9"/>
      <c r="H304" s="9"/>
      <c r="J304" s="9"/>
      <c r="M304" s="9"/>
      <c r="P304" s="9"/>
    </row>
    <row r="305" ht="15.75" customHeight="1">
      <c r="B305" s="9"/>
      <c r="E305" s="9"/>
      <c r="F305" s="9"/>
      <c r="G305" s="9"/>
      <c r="H305" s="9"/>
      <c r="J305" s="9"/>
      <c r="M305" s="9"/>
      <c r="P305" s="9"/>
    </row>
    <row r="306" ht="15.75" customHeight="1">
      <c r="B306" s="9"/>
      <c r="E306" s="9"/>
      <c r="F306" s="9"/>
      <c r="G306" s="9"/>
      <c r="H306" s="9"/>
      <c r="J306" s="9"/>
      <c r="M306" s="9"/>
      <c r="P306" s="9"/>
    </row>
    <row r="307" ht="15.75" customHeight="1">
      <c r="B307" s="9"/>
      <c r="E307" s="9"/>
      <c r="F307" s="9"/>
      <c r="G307" s="9"/>
      <c r="H307" s="9"/>
      <c r="J307" s="9"/>
      <c r="M307" s="9"/>
      <c r="P307" s="9"/>
    </row>
    <row r="308" ht="15.75" customHeight="1">
      <c r="B308" s="9"/>
      <c r="E308" s="9"/>
      <c r="F308" s="9"/>
      <c r="G308" s="9"/>
      <c r="H308" s="9"/>
      <c r="J308" s="9"/>
      <c r="M308" s="9"/>
      <c r="P308" s="9"/>
    </row>
    <row r="309" ht="15.75" customHeight="1">
      <c r="B309" s="9"/>
      <c r="E309" s="9"/>
      <c r="F309" s="9"/>
      <c r="G309" s="9"/>
      <c r="H309" s="9"/>
      <c r="J309" s="9"/>
      <c r="M309" s="9"/>
      <c r="P309" s="9"/>
    </row>
    <row r="310" ht="15.75" customHeight="1">
      <c r="B310" s="9"/>
      <c r="E310" s="9"/>
      <c r="F310" s="9"/>
      <c r="G310" s="9"/>
      <c r="H310" s="9"/>
      <c r="J310" s="9"/>
      <c r="M310" s="9"/>
      <c r="P310" s="9"/>
    </row>
    <row r="311" ht="15.75" customHeight="1">
      <c r="B311" s="9"/>
      <c r="E311" s="9"/>
      <c r="F311" s="9"/>
      <c r="G311" s="9"/>
      <c r="H311" s="9"/>
      <c r="J311" s="9"/>
      <c r="M311" s="9"/>
      <c r="P311" s="9"/>
    </row>
    <row r="312" ht="15.75" customHeight="1">
      <c r="B312" s="9"/>
      <c r="E312" s="9"/>
      <c r="F312" s="9"/>
      <c r="G312" s="9"/>
      <c r="H312" s="9"/>
      <c r="J312" s="9"/>
      <c r="M312" s="9"/>
      <c r="P312" s="9"/>
    </row>
    <row r="313" ht="15.75" customHeight="1">
      <c r="B313" s="9"/>
      <c r="E313" s="9"/>
      <c r="F313" s="9"/>
      <c r="G313" s="9"/>
      <c r="H313" s="9"/>
      <c r="J313" s="9"/>
      <c r="M313" s="9"/>
      <c r="P313" s="9"/>
    </row>
    <row r="314" ht="15.75" customHeight="1">
      <c r="B314" s="9"/>
      <c r="E314" s="9"/>
      <c r="F314" s="9"/>
      <c r="G314" s="9"/>
      <c r="H314" s="9"/>
      <c r="J314" s="9"/>
      <c r="M314" s="9"/>
      <c r="P314" s="9"/>
    </row>
    <row r="315" ht="15.75" customHeight="1">
      <c r="B315" s="9"/>
      <c r="E315" s="9"/>
      <c r="F315" s="9"/>
      <c r="G315" s="9"/>
      <c r="H315" s="9"/>
      <c r="J315" s="9"/>
      <c r="M315" s="9"/>
      <c r="P315" s="9"/>
    </row>
    <row r="316" ht="15.75" customHeight="1">
      <c r="B316" s="9"/>
      <c r="E316" s="9"/>
      <c r="F316" s="9"/>
      <c r="G316" s="9"/>
      <c r="H316" s="9"/>
      <c r="J316" s="9"/>
      <c r="M316" s="9"/>
      <c r="P316" s="9"/>
    </row>
    <row r="317" ht="15.75" customHeight="1">
      <c r="B317" s="9"/>
      <c r="E317" s="9"/>
      <c r="F317" s="9"/>
      <c r="G317" s="9"/>
      <c r="H317" s="9"/>
      <c r="J317" s="9"/>
      <c r="M317" s="9"/>
      <c r="P317" s="9"/>
    </row>
    <row r="318" ht="15.75" customHeight="1">
      <c r="B318" s="9"/>
      <c r="E318" s="9"/>
      <c r="F318" s="9"/>
      <c r="G318" s="9"/>
      <c r="H318" s="9"/>
      <c r="J318" s="9"/>
      <c r="M318" s="9"/>
      <c r="P318" s="9"/>
    </row>
    <row r="319" ht="15.75" customHeight="1">
      <c r="B319" s="9"/>
      <c r="E319" s="9"/>
      <c r="F319" s="9"/>
      <c r="G319" s="9"/>
      <c r="H319" s="9"/>
      <c r="J319" s="9"/>
      <c r="M319" s="9"/>
      <c r="P319" s="9"/>
    </row>
    <row r="320" ht="15.75" customHeight="1">
      <c r="B320" s="9"/>
      <c r="E320" s="9"/>
      <c r="F320" s="9"/>
      <c r="G320" s="9"/>
      <c r="H320" s="9"/>
      <c r="J320" s="9"/>
      <c r="M320" s="9"/>
      <c r="P320" s="9"/>
    </row>
    <row r="321" ht="15.75" customHeight="1">
      <c r="B321" s="9"/>
      <c r="E321" s="9"/>
      <c r="F321" s="9"/>
      <c r="G321" s="9"/>
      <c r="H321" s="9"/>
      <c r="J321" s="9"/>
      <c r="M321" s="9"/>
      <c r="P321" s="9"/>
    </row>
    <row r="322" ht="15.75" customHeight="1">
      <c r="B322" s="9"/>
      <c r="E322" s="9"/>
      <c r="F322" s="9"/>
      <c r="G322" s="9"/>
      <c r="H322" s="9"/>
      <c r="J322" s="9"/>
      <c r="M322" s="9"/>
      <c r="P322" s="9"/>
    </row>
    <row r="323" ht="15.75" customHeight="1">
      <c r="B323" s="9"/>
      <c r="E323" s="9"/>
      <c r="F323" s="9"/>
      <c r="G323" s="9"/>
      <c r="H323" s="9"/>
      <c r="J323" s="9"/>
      <c r="M323" s="9"/>
      <c r="P323" s="9"/>
    </row>
    <row r="324" ht="15.75" customHeight="1">
      <c r="B324" s="9"/>
      <c r="E324" s="9"/>
      <c r="F324" s="9"/>
      <c r="G324" s="9"/>
      <c r="H324" s="9"/>
      <c r="J324" s="9"/>
      <c r="M324" s="9"/>
      <c r="P324" s="9"/>
    </row>
    <row r="325" ht="15.75" customHeight="1">
      <c r="B325" s="9"/>
      <c r="E325" s="9"/>
      <c r="F325" s="9"/>
      <c r="G325" s="9"/>
      <c r="H325" s="9"/>
      <c r="J325" s="9"/>
      <c r="M325" s="9"/>
      <c r="P325" s="9"/>
    </row>
    <row r="326" ht="15.75" customHeight="1">
      <c r="B326" s="9"/>
      <c r="E326" s="9"/>
      <c r="F326" s="9"/>
      <c r="G326" s="9"/>
      <c r="H326" s="9"/>
      <c r="J326" s="9"/>
      <c r="M326" s="9"/>
      <c r="P326" s="9"/>
    </row>
    <row r="327" ht="15.75" customHeight="1">
      <c r="B327" s="9"/>
      <c r="E327" s="9"/>
      <c r="F327" s="9"/>
      <c r="G327" s="9"/>
      <c r="H327" s="9"/>
      <c r="J327" s="9"/>
      <c r="M327" s="9"/>
      <c r="P327" s="9"/>
    </row>
    <row r="328" ht="15.75" customHeight="1">
      <c r="B328" s="9"/>
      <c r="E328" s="9"/>
      <c r="F328" s="9"/>
      <c r="G328" s="9"/>
      <c r="H328" s="9"/>
      <c r="J328" s="9"/>
      <c r="M328" s="9"/>
      <c r="P328" s="9"/>
    </row>
    <row r="329" ht="15.75" customHeight="1">
      <c r="B329" s="9"/>
      <c r="E329" s="9"/>
      <c r="F329" s="9"/>
      <c r="G329" s="9"/>
      <c r="H329" s="9"/>
      <c r="J329" s="9"/>
      <c r="M329" s="9"/>
      <c r="P329" s="9"/>
    </row>
    <row r="330" ht="15.75" customHeight="1">
      <c r="B330" s="9"/>
      <c r="E330" s="9"/>
      <c r="F330" s="9"/>
      <c r="G330" s="9"/>
      <c r="H330" s="9"/>
      <c r="J330" s="9"/>
      <c r="M330" s="9"/>
      <c r="P330" s="9"/>
    </row>
    <row r="331" ht="15.75" customHeight="1">
      <c r="B331" s="9"/>
      <c r="E331" s="9"/>
      <c r="F331" s="9"/>
      <c r="G331" s="9"/>
      <c r="H331" s="9"/>
      <c r="J331" s="9"/>
      <c r="M331" s="9"/>
      <c r="P331" s="9"/>
    </row>
    <row r="332" ht="15.75" customHeight="1">
      <c r="B332" s="9"/>
      <c r="E332" s="9"/>
      <c r="F332" s="9"/>
      <c r="G332" s="9"/>
      <c r="H332" s="9"/>
      <c r="J332" s="9"/>
      <c r="M332" s="9"/>
      <c r="P332" s="9"/>
    </row>
    <row r="333" ht="15.75" customHeight="1">
      <c r="B333" s="9"/>
      <c r="E333" s="9"/>
      <c r="F333" s="9"/>
      <c r="G333" s="9"/>
      <c r="H333" s="9"/>
      <c r="J333" s="9"/>
      <c r="M333" s="9"/>
      <c r="P333" s="9"/>
    </row>
    <row r="334" ht="15.75" customHeight="1">
      <c r="B334" s="9"/>
      <c r="E334" s="9"/>
      <c r="F334" s="9"/>
      <c r="G334" s="9"/>
      <c r="H334" s="9"/>
      <c r="J334" s="9"/>
      <c r="M334" s="9"/>
      <c r="P334" s="9"/>
    </row>
    <row r="335" ht="15.75" customHeight="1">
      <c r="B335" s="9"/>
      <c r="E335" s="9"/>
      <c r="F335" s="9"/>
      <c r="G335" s="9"/>
      <c r="H335" s="9"/>
      <c r="J335" s="9"/>
      <c r="M335" s="9"/>
      <c r="P335" s="9"/>
    </row>
    <row r="336" ht="15.75" customHeight="1">
      <c r="B336" s="9"/>
      <c r="E336" s="9"/>
      <c r="F336" s="9"/>
      <c r="G336" s="9"/>
      <c r="H336" s="9"/>
      <c r="J336" s="9"/>
      <c r="M336" s="9"/>
      <c r="P336" s="9"/>
    </row>
    <row r="337" ht="15.75" customHeight="1">
      <c r="B337" s="9"/>
      <c r="E337" s="9"/>
      <c r="F337" s="9"/>
      <c r="G337" s="9"/>
      <c r="H337" s="9"/>
      <c r="J337" s="9"/>
      <c r="M337" s="9"/>
      <c r="P337" s="9"/>
    </row>
    <row r="338" ht="15.75" customHeight="1">
      <c r="B338" s="9"/>
      <c r="E338" s="9"/>
      <c r="F338" s="9"/>
      <c r="G338" s="9"/>
      <c r="H338" s="9"/>
      <c r="J338" s="9"/>
      <c r="M338" s="9"/>
      <c r="P338" s="9"/>
    </row>
    <row r="339" ht="15.75" customHeight="1">
      <c r="B339" s="9"/>
      <c r="E339" s="9"/>
      <c r="F339" s="9"/>
      <c r="G339" s="9"/>
      <c r="H339" s="9"/>
      <c r="J339" s="9"/>
      <c r="M339" s="9"/>
      <c r="P339" s="9"/>
    </row>
    <row r="340" ht="15.75" customHeight="1">
      <c r="B340" s="9"/>
      <c r="E340" s="9"/>
      <c r="F340" s="9"/>
      <c r="G340" s="9"/>
      <c r="H340" s="9"/>
      <c r="J340" s="9"/>
      <c r="M340" s="9"/>
      <c r="P340" s="9"/>
    </row>
    <row r="341" ht="15.75" customHeight="1">
      <c r="B341" s="9"/>
      <c r="E341" s="9"/>
      <c r="F341" s="9"/>
      <c r="G341" s="9"/>
      <c r="H341" s="9"/>
      <c r="J341" s="9"/>
      <c r="M341" s="9"/>
      <c r="P341" s="9"/>
    </row>
    <row r="342" ht="15.75" customHeight="1">
      <c r="B342" s="9"/>
      <c r="E342" s="9"/>
      <c r="F342" s="9"/>
      <c r="G342" s="9"/>
      <c r="H342" s="9"/>
      <c r="J342" s="9"/>
      <c r="M342" s="9"/>
      <c r="P342" s="9"/>
    </row>
    <row r="343" ht="15.75" customHeight="1">
      <c r="B343" s="9"/>
      <c r="E343" s="9"/>
      <c r="F343" s="9"/>
      <c r="G343" s="9"/>
      <c r="H343" s="9"/>
      <c r="J343" s="9"/>
      <c r="M343" s="9"/>
      <c r="P343" s="9"/>
    </row>
    <row r="344" ht="15.75" customHeight="1">
      <c r="B344" s="9"/>
      <c r="E344" s="9"/>
      <c r="F344" s="9"/>
      <c r="G344" s="9"/>
      <c r="H344" s="9"/>
      <c r="J344" s="9"/>
      <c r="M344" s="9"/>
      <c r="P344" s="9"/>
    </row>
    <row r="345" ht="15.75" customHeight="1">
      <c r="B345" s="9"/>
      <c r="E345" s="9"/>
      <c r="F345" s="9"/>
      <c r="G345" s="9"/>
      <c r="H345" s="9"/>
      <c r="J345" s="9"/>
      <c r="M345" s="9"/>
      <c r="P345" s="9"/>
    </row>
    <row r="346" ht="15.75" customHeight="1">
      <c r="B346" s="9"/>
      <c r="E346" s="9"/>
      <c r="F346" s="9"/>
      <c r="G346" s="9"/>
      <c r="H346" s="9"/>
      <c r="J346" s="9"/>
      <c r="M346" s="9"/>
      <c r="P346" s="9"/>
    </row>
    <row r="347" ht="15.75" customHeight="1">
      <c r="B347" s="9"/>
      <c r="E347" s="9"/>
      <c r="F347" s="9"/>
      <c r="G347" s="9"/>
      <c r="H347" s="9"/>
      <c r="J347" s="9"/>
      <c r="M347" s="9"/>
      <c r="P347" s="9"/>
    </row>
    <row r="348" ht="15.75" customHeight="1">
      <c r="B348" s="9"/>
      <c r="E348" s="9"/>
      <c r="F348" s="9"/>
      <c r="G348" s="9"/>
      <c r="H348" s="9"/>
      <c r="J348" s="9"/>
      <c r="M348" s="9"/>
      <c r="P348" s="9"/>
    </row>
    <row r="349" ht="15.75" customHeight="1">
      <c r="B349" s="9"/>
      <c r="E349" s="9"/>
      <c r="F349" s="9"/>
      <c r="G349" s="9"/>
      <c r="H349" s="9"/>
      <c r="J349" s="9"/>
      <c r="M349" s="9"/>
      <c r="P349" s="9"/>
    </row>
    <row r="350" ht="15.75" customHeight="1">
      <c r="B350" s="9"/>
      <c r="E350" s="9"/>
      <c r="F350" s="9"/>
      <c r="G350" s="9"/>
      <c r="H350" s="9"/>
      <c r="J350" s="9"/>
      <c r="M350" s="9"/>
      <c r="P350" s="9"/>
    </row>
    <row r="351" ht="15.75" customHeight="1">
      <c r="B351" s="9"/>
      <c r="E351" s="9"/>
      <c r="F351" s="9"/>
      <c r="G351" s="9"/>
      <c r="H351" s="9"/>
      <c r="J351" s="9"/>
      <c r="M351" s="9"/>
      <c r="P351" s="9"/>
    </row>
    <row r="352" ht="15.75" customHeight="1">
      <c r="B352" s="9"/>
      <c r="E352" s="9"/>
      <c r="F352" s="9"/>
      <c r="G352" s="9"/>
      <c r="H352" s="9"/>
      <c r="J352" s="9"/>
      <c r="M352" s="9"/>
      <c r="P352" s="9"/>
    </row>
    <row r="353" ht="15.75" customHeight="1">
      <c r="B353" s="9"/>
      <c r="E353" s="9"/>
      <c r="F353" s="9"/>
      <c r="G353" s="9"/>
      <c r="H353" s="9"/>
      <c r="J353" s="9"/>
      <c r="M353" s="9"/>
      <c r="P353" s="9"/>
    </row>
    <row r="354" ht="15.75" customHeight="1">
      <c r="B354" s="9"/>
      <c r="E354" s="9"/>
      <c r="F354" s="9"/>
      <c r="G354" s="9"/>
      <c r="H354" s="9"/>
      <c r="J354" s="9"/>
      <c r="M354" s="9"/>
      <c r="P354" s="9"/>
    </row>
    <row r="355" ht="15.75" customHeight="1">
      <c r="B355" s="9"/>
      <c r="E355" s="9"/>
      <c r="F355" s="9"/>
      <c r="G355" s="9"/>
      <c r="H355" s="9"/>
      <c r="J355" s="9"/>
      <c r="M355" s="9"/>
      <c r="P355" s="9"/>
    </row>
    <row r="356" ht="15.75" customHeight="1">
      <c r="B356" s="9"/>
      <c r="E356" s="9"/>
      <c r="F356" s="9"/>
      <c r="G356" s="9"/>
      <c r="H356" s="9"/>
      <c r="J356" s="9"/>
      <c r="M356" s="9"/>
      <c r="P356" s="9"/>
    </row>
    <row r="357" ht="15.75" customHeight="1">
      <c r="B357" s="9"/>
      <c r="E357" s="9"/>
      <c r="F357" s="9"/>
      <c r="G357" s="9"/>
      <c r="H357" s="9"/>
      <c r="J357" s="9"/>
      <c r="M357" s="9"/>
      <c r="P357" s="9"/>
    </row>
    <row r="358" ht="15.75" customHeight="1">
      <c r="B358" s="9"/>
      <c r="E358" s="9"/>
      <c r="F358" s="9"/>
      <c r="G358" s="9"/>
      <c r="H358" s="9"/>
      <c r="J358" s="9"/>
      <c r="M358" s="9"/>
      <c r="P358" s="9"/>
    </row>
    <row r="359" ht="15.75" customHeight="1">
      <c r="B359" s="9"/>
      <c r="E359" s="9"/>
      <c r="F359" s="9"/>
      <c r="G359" s="9"/>
      <c r="H359" s="9"/>
      <c r="J359" s="9"/>
      <c r="M359" s="9"/>
      <c r="P359" s="9"/>
    </row>
    <row r="360" ht="15.75" customHeight="1">
      <c r="B360" s="9"/>
      <c r="E360" s="9"/>
      <c r="F360" s="9"/>
      <c r="G360" s="9"/>
      <c r="H360" s="9"/>
      <c r="J360" s="9"/>
      <c r="M360" s="9"/>
      <c r="P360" s="9"/>
    </row>
    <row r="361" ht="15.75" customHeight="1">
      <c r="B361" s="9"/>
      <c r="E361" s="9"/>
      <c r="F361" s="9"/>
      <c r="G361" s="9"/>
      <c r="H361" s="9"/>
      <c r="J361" s="9"/>
      <c r="M361" s="9"/>
      <c r="P361" s="9"/>
    </row>
    <row r="362" ht="15.75" customHeight="1">
      <c r="B362" s="9"/>
      <c r="E362" s="9"/>
      <c r="F362" s="9"/>
      <c r="G362" s="9"/>
      <c r="H362" s="9"/>
      <c r="J362" s="9"/>
      <c r="M362" s="9"/>
      <c r="P362" s="9"/>
    </row>
    <row r="363" ht="15.75" customHeight="1">
      <c r="B363" s="9"/>
      <c r="E363" s="9"/>
      <c r="F363" s="9"/>
      <c r="G363" s="9"/>
      <c r="H363" s="9"/>
      <c r="J363" s="9"/>
      <c r="M363" s="9"/>
      <c r="P363" s="9"/>
    </row>
    <row r="364" ht="15.75" customHeight="1">
      <c r="B364" s="9"/>
      <c r="E364" s="9"/>
      <c r="F364" s="9"/>
      <c r="G364" s="9"/>
      <c r="H364" s="9"/>
      <c r="J364" s="9"/>
      <c r="M364" s="9"/>
      <c r="P364" s="9"/>
    </row>
    <row r="365" ht="15.75" customHeight="1">
      <c r="B365" s="9"/>
      <c r="E365" s="9"/>
      <c r="F365" s="9"/>
      <c r="G365" s="9"/>
      <c r="H365" s="9"/>
      <c r="J365" s="9"/>
      <c r="M365" s="9"/>
      <c r="P365" s="9"/>
    </row>
    <row r="366" ht="15.75" customHeight="1">
      <c r="B366" s="9"/>
      <c r="E366" s="9"/>
      <c r="F366" s="9"/>
      <c r="G366" s="9"/>
      <c r="H366" s="9"/>
      <c r="J366" s="9"/>
      <c r="M366" s="9"/>
      <c r="P366" s="9"/>
    </row>
    <row r="367" ht="15.75" customHeight="1">
      <c r="B367" s="9"/>
      <c r="E367" s="9"/>
      <c r="F367" s="9"/>
      <c r="G367" s="9"/>
      <c r="H367" s="9"/>
      <c r="J367" s="9"/>
      <c r="M367" s="9"/>
      <c r="P367" s="9"/>
    </row>
    <row r="368" ht="15.75" customHeight="1">
      <c r="B368" s="9"/>
      <c r="E368" s="9"/>
      <c r="F368" s="9"/>
      <c r="G368" s="9"/>
      <c r="H368" s="9"/>
      <c r="J368" s="9"/>
      <c r="M368" s="9"/>
      <c r="P368" s="9"/>
    </row>
    <row r="369" ht="15.75" customHeight="1">
      <c r="B369" s="9"/>
      <c r="E369" s="9"/>
      <c r="F369" s="9"/>
      <c r="G369" s="9"/>
      <c r="H369" s="9"/>
      <c r="J369" s="9"/>
      <c r="M369" s="9"/>
      <c r="P369" s="9"/>
    </row>
    <row r="370" ht="15.75" customHeight="1">
      <c r="B370" s="9"/>
      <c r="E370" s="9"/>
      <c r="F370" s="9"/>
      <c r="G370" s="9"/>
      <c r="H370" s="9"/>
      <c r="J370" s="9"/>
      <c r="M370" s="9"/>
      <c r="P370" s="9"/>
    </row>
    <row r="371" ht="15.75" customHeight="1">
      <c r="B371" s="9"/>
      <c r="E371" s="9"/>
      <c r="F371" s="9"/>
      <c r="G371" s="9"/>
      <c r="H371" s="9"/>
      <c r="J371" s="9"/>
      <c r="M371" s="9"/>
      <c r="P371" s="9"/>
    </row>
    <row r="372" ht="15.75" customHeight="1">
      <c r="B372" s="9"/>
      <c r="E372" s="9"/>
      <c r="F372" s="9"/>
      <c r="G372" s="9"/>
      <c r="H372" s="9"/>
      <c r="J372" s="9"/>
      <c r="M372" s="9"/>
      <c r="P372" s="9"/>
    </row>
    <row r="373" ht="15.75" customHeight="1">
      <c r="B373" s="9"/>
      <c r="E373" s="9"/>
      <c r="F373" s="9"/>
      <c r="G373" s="9"/>
      <c r="H373" s="9"/>
      <c r="J373" s="9"/>
      <c r="M373" s="9"/>
      <c r="P373" s="9"/>
    </row>
    <row r="374" ht="15.75" customHeight="1">
      <c r="B374" s="9"/>
      <c r="E374" s="9"/>
      <c r="F374" s="9"/>
      <c r="G374" s="9"/>
      <c r="H374" s="9"/>
      <c r="J374" s="9"/>
      <c r="M374" s="9"/>
      <c r="P374" s="9"/>
    </row>
    <row r="375" ht="15.75" customHeight="1">
      <c r="B375" s="9"/>
      <c r="E375" s="9"/>
      <c r="F375" s="9"/>
      <c r="G375" s="9"/>
      <c r="H375" s="9"/>
      <c r="J375" s="9"/>
      <c r="M375" s="9"/>
      <c r="P375" s="9"/>
    </row>
    <row r="376" ht="15.75" customHeight="1">
      <c r="B376" s="9"/>
      <c r="E376" s="9"/>
      <c r="F376" s="9"/>
      <c r="G376" s="9"/>
      <c r="H376" s="9"/>
      <c r="J376" s="9"/>
      <c r="M376" s="9"/>
      <c r="P376" s="9"/>
    </row>
    <row r="377" ht="15.75" customHeight="1">
      <c r="B377" s="9"/>
      <c r="E377" s="9"/>
      <c r="F377" s="9"/>
      <c r="G377" s="9"/>
      <c r="H377" s="9"/>
      <c r="J377" s="9"/>
      <c r="M377" s="9"/>
      <c r="P377" s="9"/>
    </row>
    <row r="378" ht="15.75" customHeight="1">
      <c r="B378" s="9"/>
      <c r="E378" s="9"/>
      <c r="F378" s="9"/>
      <c r="G378" s="9"/>
      <c r="H378" s="9"/>
      <c r="J378" s="9"/>
      <c r="M378" s="9"/>
      <c r="P378" s="9"/>
    </row>
    <row r="379" ht="15.75" customHeight="1">
      <c r="B379" s="9"/>
      <c r="E379" s="9"/>
      <c r="F379" s="9"/>
      <c r="G379" s="9"/>
      <c r="H379" s="9"/>
      <c r="J379" s="9"/>
      <c r="M379" s="9"/>
      <c r="P379" s="9"/>
    </row>
    <row r="380" ht="15.75" customHeight="1">
      <c r="B380" s="9"/>
      <c r="E380" s="9"/>
      <c r="F380" s="9"/>
      <c r="G380" s="9"/>
      <c r="H380" s="9"/>
      <c r="J380" s="9"/>
      <c r="M380" s="9"/>
      <c r="P380" s="9"/>
    </row>
    <row r="381" ht="15.75" customHeight="1">
      <c r="B381" s="9"/>
      <c r="E381" s="9"/>
      <c r="F381" s="9"/>
      <c r="G381" s="9"/>
      <c r="H381" s="9"/>
      <c r="J381" s="9"/>
      <c r="M381" s="9"/>
      <c r="P381" s="9"/>
    </row>
    <row r="382" ht="15.75" customHeight="1">
      <c r="B382" s="9"/>
      <c r="E382" s="9"/>
      <c r="F382" s="9"/>
      <c r="G382" s="9"/>
      <c r="H382" s="9"/>
      <c r="J382" s="9"/>
      <c r="M382" s="9"/>
      <c r="P382" s="9"/>
    </row>
    <row r="383" ht="15.75" customHeight="1">
      <c r="B383" s="9"/>
      <c r="E383" s="9"/>
      <c r="F383" s="9"/>
      <c r="G383" s="9"/>
      <c r="H383" s="9"/>
      <c r="J383" s="9"/>
      <c r="M383" s="9"/>
      <c r="P383" s="9"/>
    </row>
    <row r="384" ht="15.75" customHeight="1">
      <c r="B384" s="9"/>
      <c r="E384" s="9"/>
      <c r="F384" s="9"/>
      <c r="G384" s="9"/>
      <c r="H384" s="9"/>
      <c r="J384" s="9"/>
      <c r="M384" s="9"/>
      <c r="P384" s="9"/>
    </row>
    <row r="385" ht="15.75" customHeight="1">
      <c r="B385" s="9"/>
      <c r="E385" s="9"/>
      <c r="F385" s="9"/>
      <c r="G385" s="9"/>
      <c r="H385" s="9"/>
      <c r="J385" s="9"/>
      <c r="M385" s="9"/>
      <c r="P385" s="9"/>
    </row>
    <row r="386" ht="15.75" customHeight="1">
      <c r="B386" s="9"/>
      <c r="E386" s="9"/>
      <c r="F386" s="9"/>
      <c r="G386" s="9"/>
      <c r="H386" s="9"/>
      <c r="J386" s="9"/>
      <c r="M386" s="9"/>
      <c r="P386" s="9"/>
    </row>
    <row r="387" ht="15.75" customHeight="1">
      <c r="B387" s="9"/>
      <c r="E387" s="9"/>
      <c r="F387" s="9"/>
      <c r="G387" s="9"/>
      <c r="H387" s="9"/>
      <c r="J387" s="9"/>
      <c r="M387" s="9"/>
      <c r="P387" s="9"/>
    </row>
    <row r="388" ht="15.75" customHeight="1">
      <c r="B388" s="9"/>
      <c r="E388" s="9"/>
      <c r="F388" s="9"/>
      <c r="G388" s="9"/>
      <c r="H388" s="9"/>
      <c r="J388" s="9"/>
      <c r="M388" s="9"/>
      <c r="P388" s="9"/>
    </row>
    <row r="389" ht="15.75" customHeight="1">
      <c r="B389" s="9"/>
      <c r="E389" s="9"/>
      <c r="F389" s="9"/>
      <c r="G389" s="9"/>
      <c r="H389" s="9"/>
      <c r="J389" s="9"/>
      <c r="M389" s="9"/>
      <c r="P389" s="9"/>
    </row>
    <row r="390" ht="15.75" customHeight="1">
      <c r="B390" s="9"/>
      <c r="E390" s="9"/>
      <c r="F390" s="9"/>
      <c r="G390" s="9"/>
      <c r="H390" s="9"/>
      <c r="J390" s="9"/>
      <c r="M390" s="9"/>
      <c r="P390" s="9"/>
    </row>
    <row r="391" ht="15.75" customHeight="1">
      <c r="B391" s="9"/>
      <c r="E391" s="9"/>
      <c r="F391" s="9"/>
      <c r="G391" s="9"/>
      <c r="H391" s="9"/>
      <c r="J391" s="9"/>
      <c r="M391" s="9"/>
      <c r="P391" s="9"/>
    </row>
    <row r="392" ht="15.75" customHeight="1">
      <c r="B392" s="9"/>
      <c r="E392" s="9"/>
      <c r="F392" s="9"/>
      <c r="G392" s="9"/>
      <c r="H392" s="9"/>
      <c r="J392" s="9"/>
      <c r="M392" s="9"/>
      <c r="P392" s="9"/>
    </row>
    <row r="393" ht="15.75" customHeight="1">
      <c r="B393" s="9"/>
      <c r="E393" s="9"/>
      <c r="F393" s="9"/>
      <c r="G393" s="9"/>
      <c r="H393" s="9"/>
      <c r="J393" s="9"/>
      <c r="M393" s="9"/>
      <c r="P393" s="9"/>
    </row>
    <row r="394" ht="15.75" customHeight="1">
      <c r="B394" s="9"/>
      <c r="E394" s="9"/>
      <c r="F394" s="9"/>
      <c r="G394" s="9"/>
      <c r="H394" s="9"/>
      <c r="J394" s="9"/>
      <c r="M394" s="9"/>
      <c r="P394" s="9"/>
    </row>
    <row r="395" ht="15.75" customHeight="1">
      <c r="B395" s="9"/>
      <c r="E395" s="9"/>
      <c r="F395" s="9"/>
      <c r="G395" s="9"/>
      <c r="H395" s="9"/>
      <c r="J395" s="9"/>
      <c r="M395" s="9"/>
      <c r="P395" s="9"/>
    </row>
    <row r="396" ht="15.75" customHeight="1">
      <c r="B396" s="9"/>
      <c r="E396" s="9"/>
      <c r="F396" s="9"/>
      <c r="G396" s="9"/>
      <c r="H396" s="9"/>
      <c r="J396" s="9"/>
      <c r="M396" s="9"/>
      <c r="P396" s="9"/>
    </row>
    <row r="397" ht="15.75" customHeight="1">
      <c r="B397" s="9"/>
      <c r="E397" s="9"/>
      <c r="F397" s="9"/>
      <c r="G397" s="9"/>
      <c r="H397" s="9"/>
      <c r="J397" s="9"/>
      <c r="M397" s="9"/>
      <c r="P397" s="9"/>
    </row>
    <row r="398" ht="15.75" customHeight="1">
      <c r="B398" s="9"/>
      <c r="E398" s="9"/>
      <c r="F398" s="9"/>
      <c r="G398" s="9"/>
      <c r="H398" s="9"/>
      <c r="J398" s="9"/>
      <c r="M398" s="9"/>
      <c r="P398" s="9"/>
    </row>
    <row r="399" ht="15.75" customHeight="1">
      <c r="B399" s="9"/>
      <c r="E399" s="9"/>
      <c r="F399" s="9"/>
      <c r="G399" s="9"/>
      <c r="H399" s="9"/>
      <c r="J399" s="9"/>
      <c r="M399" s="9"/>
      <c r="P399" s="9"/>
    </row>
    <row r="400" ht="15.75" customHeight="1">
      <c r="B400" s="9"/>
      <c r="E400" s="9"/>
      <c r="F400" s="9"/>
      <c r="G400" s="9"/>
      <c r="H400" s="9"/>
      <c r="J400" s="9"/>
      <c r="M400" s="9"/>
      <c r="P400" s="9"/>
    </row>
    <row r="401" ht="15.75" customHeight="1">
      <c r="B401" s="9"/>
      <c r="E401" s="9"/>
      <c r="F401" s="9"/>
      <c r="G401" s="9"/>
      <c r="H401" s="9"/>
      <c r="J401" s="9"/>
      <c r="M401" s="9"/>
      <c r="P401" s="9"/>
    </row>
    <row r="402" ht="15.75" customHeight="1">
      <c r="B402" s="9"/>
      <c r="E402" s="9"/>
      <c r="F402" s="9"/>
      <c r="G402" s="9"/>
      <c r="H402" s="9"/>
      <c r="J402" s="9"/>
      <c r="M402" s="9"/>
      <c r="P402" s="9"/>
    </row>
    <row r="403" ht="15.75" customHeight="1">
      <c r="B403" s="9"/>
      <c r="E403" s="9"/>
      <c r="F403" s="9"/>
      <c r="G403" s="9"/>
      <c r="H403" s="9"/>
      <c r="J403" s="9"/>
      <c r="M403" s="9"/>
      <c r="P403" s="9"/>
    </row>
    <row r="404" ht="15.75" customHeight="1">
      <c r="B404" s="9"/>
      <c r="E404" s="9"/>
      <c r="F404" s="9"/>
      <c r="G404" s="9"/>
      <c r="H404" s="9"/>
      <c r="J404" s="9"/>
      <c r="M404" s="9"/>
      <c r="P404" s="9"/>
    </row>
    <row r="405" ht="15.75" customHeight="1">
      <c r="B405" s="9"/>
      <c r="E405" s="9"/>
      <c r="F405" s="9"/>
      <c r="G405" s="9"/>
      <c r="H405" s="9"/>
      <c r="J405" s="9"/>
      <c r="M405" s="9"/>
      <c r="P405" s="9"/>
    </row>
    <row r="406" ht="15.75" customHeight="1">
      <c r="B406" s="9"/>
      <c r="E406" s="9"/>
      <c r="F406" s="9"/>
      <c r="G406" s="9"/>
      <c r="H406" s="9"/>
      <c r="J406" s="9"/>
      <c r="M406" s="9"/>
      <c r="P406" s="9"/>
    </row>
    <row r="407" ht="15.75" customHeight="1">
      <c r="B407" s="9"/>
      <c r="E407" s="9"/>
      <c r="F407" s="9"/>
      <c r="G407" s="9"/>
      <c r="H407" s="9"/>
      <c r="J407" s="9"/>
      <c r="M407" s="9"/>
      <c r="P407" s="9"/>
    </row>
    <row r="408" ht="15.75" customHeight="1">
      <c r="B408" s="9"/>
      <c r="E408" s="9"/>
      <c r="F408" s="9"/>
      <c r="G408" s="9"/>
      <c r="H408" s="9"/>
      <c r="J408" s="9"/>
      <c r="M408" s="9"/>
      <c r="P408" s="9"/>
    </row>
    <row r="409" ht="15.75" customHeight="1">
      <c r="B409" s="9"/>
      <c r="E409" s="9"/>
      <c r="F409" s="9"/>
      <c r="G409" s="9"/>
      <c r="H409" s="9"/>
      <c r="J409" s="9"/>
      <c r="M409" s="9"/>
      <c r="P409" s="9"/>
    </row>
    <row r="410" ht="15.75" customHeight="1">
      <c r="B410" s="9"/>
      <c r="E410" s="9"/>
      <c r="F410" s="9"/>
      <c r="G410" s="9"/>
      <c r="H410" s="9"/>
      <c r="J410" s="9"/>
      <c r="M410" s="9"/>
      <c r="P410" s="9"/>
    </row>
    <row r="411" ht="15.75" customHeight="1">
      <c r="B411" s="9"/>
      <c r="E411" s="9"/>
      <c r="F411" s="9"/>
      <c r="G411" s="9"/>
      <c r="H411" s="9"/>
      <c r="J411" s="9"/>
      <c r="M411" s="9"/>
      <c r="P411" s="9"/>
    </row>
    <row r="412" ht="15.75" customHeight="1">
      <c r="B412" s="9"/>
      <c r="E412" s="9"/>
      <c r="F412" s="9"/>
      <c r="G412" s="9"/>
      <c r="H412" s="9"/>
      <c r="J412" s="9"/>
      <c r="M412" s="9"/>
      <c r="P412" s="9"/>
    </row>
    <row r="413" ht="15.75" customHeight="1">
      <c r="B413" s="9"/>
      <c r="E413" s="9"/>
      <c r="F413" s="9"/>
      <c r="G413" s="9"/>
      <c r="H413" s="9"/>
      <c r="J413" s="9"/>
      <c r="M413" s="9"/>
      <c r="P413" s="9"/>
    </row>
    <row r="414" ht="15.75" customHeight="1">
      <c r="B414" s="9"/>
      <c r="E414" s="9"/>
      <c r="F414" s="9"/>
      <c r="G414" s="9"/>
      <c r="H414" s="9"/>
      <c r="J414" s="9"/>
      <c r="M414" s="9"/>
      <c r="P414" s="9"/>
    </row>
    <row r="415" ht="15.75" customHeight="1">
      <c r="B415" s="9"/>
      <c r="E415" s="9"/>
      <c r="F415" s="9"/>
      <c r="G415" s="9"/>
      <c r="H415" s="9"/>
      <c r="J415" s="9"/>
      <c r="M415" s="9"/>
      <c r="P415" s="9"/>
    </row>
    <row r="416" ht="15.75" customHeight="1">
      <c r="B416" s="9"/>
      <c r="E416" s="9"/>
      <c r="F416" s="9"/>
      <c r="G416" s="9"/>
      <c r="H416" s="9"/>
      <c r="J416" s="9"/>
      <c r="M416" s="9"/>
      <c r="P416" s="9"/>
    </row>
    <row r="417" ht="15.75" customHeight="1">
      <c r="B417" s="9"/>
      <c r="E417" s="9"/>
      <c r="F417" s="9"/>
      <c r="G417" s="9"/>
      <c r="H417" s="9"/>
      <c r="J417" s="9"/>
      <c r="M417" s="9"/>
      <c r="P417" s="9"/>
    </row>
    <row r="418" ht="15.75" customHeight="1">
      <c r="B418" s="9"/>
      <c r="E418" s="9"/>
      <c r="F418" s="9"/>
      <c r="G418" s="9"/>
      <c r="H418" s="9"/>
      <c r="J418" s="9"/>
      <c r="M418" s="9"/>
      <c r="P418" s="9"/>
    </row>
    <row r="419" ht="15.75" customHeight="1">
      <c r="B419" s="9"/>
      <c r="E419" s="9"/>
      <c r="F419" s="9"/>
      <c r="G419" s="9"/>
      <c r="H419" s="9"/>
      <c r="J419" s="9"/>
      <c r="M419" s="9"/>
      <c r="P419" s="9"/>
    </row>
    <row r="420" ht="15.75" customHeight="1">
      <c r="B420" s="9"/>
      <c r="E420" s="9"/>
      <c r="F420" s="9"/>
      <c r="G420" s="9"/>
      <c r="H420" s="9"/>
      <c r="J420" s="9"/>
      <c r="M420" s="9"/>
      <c r="P420" s="9"/>
    </row>
    <row r="421" ht="15.75" customHeight="1">
      <c r="B421" s="9"/>
      <c r="E421" s="9"/>
      <c r="F421" s="9"/>
      <c r="G421" s="9"/>
      <c r="H421" s="9"/>
      <c r="J421" s="9"/>
      <c r="M421" s="9"/>
      <c r="P421" s="9"/>
    </row>
    <row r="422" ht="15.75" customHeight="1">
      <c r="B422" s="9"/>
      <c r="E422" s="9"/>
      <c r="F422" s="9"/>
      <c r="G422" s="9"/>
      <c r="H422" s="9"/>
      <c r="J422" s="9"/>
      <c r="M422" s="9"/>
      <c r="P422" s="9"/>
    </row>
    <row r="423" ht="15.75" customHeight="1">
      <c r="B423" s="9"/>
      <c r="E423" s="9"/>
      <c r="F423" s="9"/>
      <c r="G423" s="9"/>
      <c r="H423" s="9"/>
      <c r="J423" s="9"/>
      <c r="M423" s="9"/>
      <c r="P423" s="9"/>
    </row>
    <row r="424" ht="15.75" customHeight="1">
      <c r="B424" s="9"/>
      <c r="E424" s="9"/>
      <c r="F424" s="9"/>
      <c r="G424" s="9"/>
      <c r="H424" s="9"/>
      <c r="J424" s="9"/>
      <c r="M424" s="9"/>
      <c r="P424" s="9"/>
    </row>
    <row r="425" ht="15.75" customHeight="1">
      <c r="B425" s="9"/>
      <c r="E425" s="9"/>
      <c r="F425" s="9"/>
      <c r="G425" s="9"/>
      <c r="H425" s="9"/>
      <c r="J425" s="9"/>
      <c r="M425" s="9"/>
      <c r="P425" s="9"/>
    </row>
    <row r="426" ht="15.75" customHeight="1">
      <c r="B426" s="9"/>
      <c r="E426" s="9"/>
      <c r="F426" s="9"/>
      <c r="G426" s="9"/>
      <c r="H426" s="9"/>
      <c r="J426" s="9"/>
      <c r="M426" s="9"/>
      <c r="P426" s="9"/>
    </row>
    <row r="427" ht="15.75" customHeight="1">
      <c r="B427" s="9"/>
      <c r="E427" s="9"/>
      <c r="F427" s="9"/>
      <c r="G427" s="9"/>
      <c r="H427" s="9"/>
      <c r="J427" s="9"/>
      <c r="M427" s="9"/>
      <c r="P427" s="9"/>
    </row>
    <row r="428" ht="15.75" customHeight="1">
      <c r="B428" s="9"/>
      <c r="E428" s="9"/>
      <c r="F428" s="9"/>
      <c r="G428" s="9"/>
      <c r="H428" s="9"/>
      <c r="J428" s="9"/>
      <c r="M428" s="9"/>
      <c r="P428" s="9"/>
    </row>
    <row r="429" ht="15.75" customHeight="1">
      <c r="B429" s="9"/>
      <c r="E429" s="9"/>
      <c r="F429" s="9"/>
      <c r="G429" s="9"/>
      <c r="H429" s="9"/>
      <c r="J429" s="9"/>
      <c r="M429" s="9"/>
      <c r="P429" s="9"/>
    </row>
    <row r="430" ht="15.75" customHeight="1">
      <c r="B430" s="9"/>
      <c r="E430" s="9"/>
      <c r="F430" s="9"/>
      <c r="G430" s="9"/>
      <c r="H430" s="9"/>
      <c r="J430" s="9"/>
      <c r="M430" s="9"/>
      <c r="P430" s="9"/>
    </row>
    <row r="431" ht="15.75" customHeight="1">
      <c r="B431" s="9"/>
      <c r="E431" s="9"/>
      <c r="F431" s="9"/>
      <c r="G431" s="9"/>
      <c r="H431" s="9"/>
      <c r="J431" s="9"/>
      <c r="M431" s="9"/>
      <c r="P431" s="9"/>
    </row>
    <row r="432" ht="15.75" customHeight="1">
      <c r="B432" s="9"/>
      <c r="E432" s="9"/>
      <c r="F432" s="9"/>
      <c r="G432" s="9"/>
      <c r="H432" s="9"/>
      <c r="J432" s="9"/>
      <c r="M432" s="9"/>
      <c r="P432" s="9"/>
    </row>
    <row r="433" ht="15.75" customHeight="1">
      <c r="B433" s="9"/>
      <c r="E433" s="9"/>
      <c r="F433" s="9"/>
      <c r="G433" s="9"/>
      <c r="H433" s="9"/>
      <c r="J433" s="9"/>
      <c r="M433" s="9"/>
      <c r="P433" s="9"/>
    </row>
    <row r="434" ht="15.75" customHeight="1">
      <c r="B434" s="9"/>
      <c r="E434" s="9"/>
      <c r="F434" s="9"/>
      <c r="G434" s="9"/>
      <c r="H434" s="9"/>
      <c r="J434" s="9"/>
      <c r="M434" s="9"/>
      <c r="P434" s="9"/>
    </row>
    <row r="435" ht="15.75" customHeight="1">
      <c r="B435" s="9"/>
      <c r="E435" s="9"/>
      <c r="F435" s="9"/>
      <c r="G435" s="9"/>
      <c r="H435" s="9"/>
      <c r="J435" s="9"/>
      <c r="M435" s="9"/>
      <c r="P435" s="9"/>
    </row>
    <row r="436" ht="15.75" customHeight="1">
      <c r="B436" s="9"/>
      <c r="E436" s="9"/>
      <c r="F436" s="9"/>
      <c r="G436" s="9"/>
      <c r="H436" s="9"/>
      <c r="J436" s="9"/>
      <c r="M436" s="9"/>
      <c r="P436" s="9"/>
    </row>
    <row r="437" ht="15.75" customHeight="1">
      <c r="B437" s="9"/>
      <c r="E437" s="9"/>
      <c r="F437" s="9"/>
      <c r="G437" s="9"/>
      <c r="H437" s="9"/>
      <c r="J437" s="9"/>
      <c r="M437" s="9"/>
      <c r="P437" s="9"/>
    </row>
    <row r="438" ht="15.75" customHeight="1">
      <c r="B438" s="9"/>
      <c r="E438" s="9"/>
      <c r="F438" s="9"/>
      <c r="G438" s="9"/>
      <c r="H438" s="9"/>
      <c r="J438" s="9"/>
      <c r="M438" s="9"/>
      <c r="P438" s="9"/>
    </row>
    <row r="439" ht="15.75" customHeight="1">
      <c r="B439" s="9"/>
      <c r="E439" s="9"/>
      <c r="F439" s="9"/>
      <c r="G439" s="9"/>
      <c r="H439" s="9"/>
      <c r="J439" s="9"/>
      <c r="M439" s="9"/>
      <c r="P439" s="9"/>
    </row>
    <row r="440" ht="15.75" customHeight="1">
      <c r="B440" s="9"/>
      <c r="E440" s="9"/>
      <c r="F440" s="9"/>
      <c r="G440" s="9"/>
      <c r="H440" s="9"/>
      <c r="J440" s="9"/>
      <c r="M440" s="9"/>
      <c r="P440" s="9"/>
    </row>
    <row r="441" ht="15.75" customHeight="1">
      <c r="B441" s="9"/>
      <c r="E441" s="9"/>
      <c r="F441" s="9"/>
      <c r="G441" s="9"/>
      <c r="H441" s="9"/>
      <c r="J441" s="9"/>
      <c r="M441" s="9"/>
      <c r="P441" s="9"/>
    </row>
    <row r="442" ht="15.75" customHeight="1">
      <c r="B442" s="9"/>
      <c r="E442" s="9"/>
      <c r="F442" s="9"/>
      <c r="G442" s="9"/>
      <c r="H442" s="9"/>
      <c r="J442" s="9"/>
      <c r="M442" s="9"/>
      <c r="P442" s="9"/>
    </row>
    <row r="443" ht="15.75" customHeight="1">
      <c r="B443" s="9"/>
      <c r="E443" s="9"/>
      <c r="F443" s="9"/>
      <c r="G443" s="9"/>
      <c r="H443" s="9"/>
      <c r="J443" s="9"/>
      <c r="M443" s="9"/>
      <c r="P443" s="9"/>
    </row>
    <row r="444" ht="15.75" customHeight="1">
      <c r="B444" s="9"/>
      <c r="E444" s="9"/>
      <c r="F444" s="9"/>
      <c r="G444" s="9"/>
      <c r="H444" s="9"/>
      <c r="J444" s="9"/>
      <c r="M444" s="9"/>
      <c r="P444" s="9"/>
    </row>
    <row r="445" ht="15.75" customHeight="1">
      <c r="B445" s="9"/>
      <c r="E445" s="9"/>
      <c r="F445" s="9"/>
      <c r="G445" s="9"/>
      <c r="H445" s="9"/>
      <c r="J445" s="9"/>
      <c r="M445" s="9"/>
      <c r="P445" s="9"/>
    </row>
    <row r="446" ht="15.75" customHeight="1">
      <c r="B446" s="9"/>
      <c r="E446" s="9"/>
      <c r="F446" s="9"/>
      <c r="G446" s="9"/>
      <c r="H446" s="9"/>
      <c r="J446" s="9"/>
      <c r="M446" s="9"/>
      <c r="P446" s="9"/>
    </row>
    <row r="447" ht="15.75" customHeight="1">
      <c r="B447" s="9"/>
      <c r="E447" s="9"/>
      <c r="F447" s="9"/>
      <c r="G447" s="9"/>
      <c r="H447" s="9"/>
      <c r="J447" s="9"/>
      <c r="M447" s="9"/>
      <c r="P447" s="9"/>
    </row>
    <row r="448" ht="15.75" customHeight="1">
      <c r="B448" s="9"/>
      <c r="E448" s="9"/>
      <c r="F448" s="9"/>
      <c r="G448" s="9"/>
      <c r="H448" s="9"/>
      <c r="J448" s="9"/>
      <c r="M448" s="9"/>
      <c r="P448" s="9"/>
    </row>
    <row r="449" ht="15.75" customHeight="1">
      <c r="B449" s="9"/>
      <c r="E449" s="9"/>
      <c r="F449" s="9"/>
      <c r="G449" s="9"/>
      <c r="H449" s="9"/>
      <c r="J449" s="9"/>
      <c r="M449" s="9"/>
      <c r="P449" s="9"/>
    </row>
    <row r="450" ht="15.75" customHeight="1">
      <c r="B450" s="9"/>
      <c r="E450" s="9"/>
      <c r="F450" s="9"/>
      <c r="G450" s="9"/>
      <c r="H450" s="9"/>
      <c r="J450" s="9"/>
      <c r="M450" s="9"/>
      <c r="P450" s="9"/>
    </row>
    <row r="451" ht="15.75" customHeight="1">
      <c r="B451" s="9"/>
      <c r="E451" s="9"/>
      <c r="F451" s="9"/>
      <c r="G451" s="9"/>
      <c r="H451" s="9"/>
      <c r="J451" s="9"/>
      <c r="M451" s="9"/>
      <c r="P451" s="9"/>
    </row>
    <row r="452" ht="15.75" customHeight="1">
      <c r="B452" s="9"/>
      <c r="E452" s="9"/>
      <c r="F452" s="9"/>
      <c r="G452" s="9"/>
      <c r="H452" s="9"/>
      <c r="J452" s="9"/>
      <c r="M452" s="9"/>
      <c r="P452" s="9"/>
    </row>
    <row r="453" ht="15.75" customHeight="1">
      <c r="B453" s="9"/>
      <c r="E453" s="9"/>
      <c r="F453" s="9"/>
      <c r="G453" s="9"/>
      <c r="H453" s="9"/>
      <c r="J453" s="9"/>
      <c r="M453" s="9"/>
      <c r="P453" s="9"/>
    </row>
    <row r="454" ht="15.75" customHeight="1">
      <c r="B454" s="9"/>
      <c r="E454" s="9"/>
      <c r="F454" s="9"/>
      <c r="G454" s="9"/>
      <c r="H454" s="9"/>
      <c r="J454" s="9"/>
      <c r="M454" s="9"/>
      <c r="P454" s="9"/>
    </row>
    <row r="455" ht="15.75" customHeight="1">
      <c r="B455" s="9"/>
      <c r="E455" s="9"/>
      <c r="F455" s="9"/>
      <c r="G455" s="9"/>
      <c r="H455" s="9"/>
      <c r="J455" s="9"/>
      <c r="M455" s="9"/>
      <c r="P455" s="9"/>
    </row>
    <row r="456" ht="15.75" customHeight="1">
      <c r="B456" s="9"/>
      <c r="E456" s="9"/>
      <c r="F456" s="9"/>
      <c r="G456" s="9"/>
      <c r="H456" s="9"/>
      <c r="J456" s="9"/>
      <c r="M456" s="9"/>
      <c r="P456" s="9"/>
    </row>
    <row r="457" ht="15.75" customHeight="1">
      <c r="B457" s="9"/>
      <c r="E457" s="9"/>
      <c r="F457" s="9"/>
      <c r="G457" s="9"/>
      <c r="H457" s="9"/>
      <c r="J457" s="9"/>
      <c r="M457" s="9"/>
      <c r="P457" s="9"/>
    </row>
    <row r="458" ht="15.75" customHeight="1">
      <c r="B458" s="9"/>
      <c r="E458" s="9"/>
      <c r="F458" s="9"/>
      <c r="G458" s="9"/>
      <c r="H458" s="9"/>
      <c r="J458" s="9"/>
      <c r="M458" s="9"/>
      <c r="P458" s="9"/>
    </row>
    <row r="459" ht="15.75" customHeight="1">
      <c r="B459" s="9"/>
      <c r="E459" s="9"/>
      <c r="F459" s="9"/>
      <c r="G459" s="9"/>
      <c r="H459" s="9"/>
      <c r="J459" s="9"/>
      <c r="M459" s="9"/>
      <c r="P459" s="9"/>
    </row>
    <row r="460" ht="15.75" customHeight="1">
      <c r="B460" s="9"/>
      <c r="E460" s="9"/>
      <c r="F460" s="9"/>
      <c r="G460" s="9"/>
      <c r="H460" s="9"/>
      <c r="J460" s="9"/>
      <c r="M460" s="9"/>
      <c r="P460" s="9"/>
    </row>
    <row r="461" ht="15.75" customHeight="1">
      <c r="B461" s="9"/>
      <c r="E461" s="9"/>
      <c r="F461" s="9"/>
      <c r="G461" s="9"/>
      <c r="H461" s="9"/>
      <c r="J461" s="9"/>
      <c r="M461" s="9"/>
      <c r="P461" s="9"/>
    </row>
    <row r="462" ht="15.75" customHeight="1">
      <c r="B462" s="9"/>
      <c r="E462" s="9"/>
      <c r="F462" s="9"/>
      <c r="G462" s="9"/>
      <c r="H462" s="9"/>
      <c r="J462" s="9"/>
      <c r="M462" s="9"/>
      <c r="P462" s="9"/>
    </row>
    <row r="463" ht="15.75" customHeight="1">
      <c r="B463" s="9"/>
      <c r="E463" s="9"/>
      <c r="F463" s="9"/>
      <c r="G463" s="9"/>
      <c r="H463" s="9"/>
      <c r="J463" s="9"/>
      <c r="M463" s="9"/>
      <c r="P463" s="9"/>
    </row>
    <row r="464" ht="15.75" customHeight="1">
      <c r="B464" s="9"/>
      <c r="E464" s="9"/>
      <c r="F464" s="9"/>
      <c r="G464" s="9"/>
      <c r="H464" s="9"/>
      <c r="J464" s="9"/>
      <c r="M464" s="9"/>
      <c r="P464" s="9"/>
    </row>
    <row r="465" ht="15.75" customHeight="1">
      <c r="B465" s="9"/>
      <c r="E465" s="9"/>
      <c r="F465" s="9"/>
      <c r="G465" s="9"/>
      <c r="H465" s="9"/>
      <c r="J465" s="9"/>
      <c r="M465" s="9"/>
      <c r="P465" s="9"/>
    </row>
    <row r="466" ht="15.75" customHeight="1">
      <c r="B466" s="9"/>
      <c r="E466" s="9"/>
      <c r="F466" s="9"/>
      <c r="G466" s="9"/>
      <c r="H466" s="9"/>
      <c r="J466" s="9"/>
      <c r="M466" s="9"/>
      <c r="P466" s="9"/>
    </row>
    <row r="467" ht="15.75" customHeight="1">
      <c r="B467" s="9"/>
      <c r="E467" s="9"/>
      <c r="F467" s="9"/>
      <c r="G467" s="9"/>
      <c r="H467" s="9"/>
      <c r="J467" s="9"/>
      <c r="M467" s="9"/>
      <c r="P467" s="9"/>
    </row>
    <row r="468" ht="15.75" customHeight="1">
      <c r="B468" s="9"/>
      <c r="E468" s="9"/>
      <c r="F468" s="9"/>
      <c r="G468" s="9"/>
      <c r="H468" s="9"/>
      <c r="J468" s="9"/>
      <c r="M468" s="9"/>
      <c r="P468" s="9"/>
    </row>
    <row r="469" ht="15.75" customHeight="1">
      <c r="B469" s="9"/>
      <c r="E469" s="9"/>
      <c r="F469" s="9"/>
      <c r="G469" s="9"/>
      <c r="H469" s="9"/>
      <c r="J469" s="9"/>
      <c r="M469" s="9"/>
      <c r="P469" s="9"/>
    </row>
    <row r="470" ht="15.75" customHeight="1">
      <c r="B470" s="9"/>
      <c r="E470" s="9"/>
      <c r="F470" s="9"/>
      <c r="G470" s="9"/>
      <c r="H470" s="9"/>
      <c r="J470" s="9"/>
      <c r="M470" s="9"/>
      <c r="P470" s="9"/>
    </row>
    <row r="471" ht="15.75" customHeight="1">
      <c r="B471" s="9"/>
      <c r="E471" s="9"/>
      <c r="F471" s="9"/>
      <c r="G471" s="9"/>
      <c r="H471" s="9"/>
      <c r="J471" s="9"/>
      <c r="M471" s="9"/>
      <c r="P471" s="9"/>
    </row>
    <row r="472" ht="15.75" customHeight="1">
      <c r="B472" s="9"/>
      <c r="E472" s="9"/>
      <c r="F472" s="9"/>
      <c r="G472" s="9"/>
      <c r="H472" s="9"/>
      <c r="J472" s="9"/>
      <c r="M472" s="9"/>
      <c r="P472" s="9"/>
    </row>
    <row r="473" ht="15.75" customHeight="1">
      <c r="B473" s="9"/>
      <c r="E473" s="9"/>
      <c r="F473" s="9"/>
      <c r="G473" s="9"/>
      <c r="H473" s="9"/>
      <c r="J473" s="9"/>
      <c r="M473" s="9"/>
      <c r="P473" s="9"/>
    </row>
    <row r="474" ht="15.75" customHeight="1">
      <c r="B474" s="9"/>
      <c r="E474" s="9"/>
      <c r="F474" s="9"/>
      <c r="G474" s="9"/>
      <c r="H474" s="9"/>
      <c r="J474" s="9"/>
      <c r="M474" s="9"/>
      <c r="P474" s="9"/>
    </row>
    <row r="475" ht="15.75" customHeight="1">
      <c r="B475" s="9"/>
      <c r="E475" s="9"/>
      <c r="F475" s="9"/>
      <c r="G475" s="9"/>
      <c r="H475" s="9"/>
      <c r="J475" s="9"/>
      <c r="M475" s="9"/>
      <c r="P475" s="9"/>
    </row>
    <row r="476" ht="15.75" customHeight="1">
      <c r="B476" s="9"/>
      <c r="E476" s="9"/>
      <c r="F476" s="9"/>
      <c r="G476" s="9"/>
      <c r="H476" s="9"/>
      <c r="J476" s="9"/>
      <c r="M476" s="9"/>
      <c r="P476" s="9"/>
    </row>
    <row r="477" ht="15.75" customHeight="1">
      <c r="B477" s="9"/>
      <c r="E477" s="9"/>
      <c r="F477" s="9"/>
      <c r="G477" s="9"/>
      <c r="H477" s="9"/>
      <c r="J477" s="9"/>
      <c r="M477" s="9"/>
      <c r="P477" s="9"/>
    </row>
    <row r="478" ht="15.75" customHeight="1">
      <c r="B478" s="9"/>
      <c r="E478" s="9"/>
      <c r="F478" s="9"/>
      <c r="G478" s="9"/>
      <c r="H478" s="9"/>
      <c r="J478" s="9"/>
      <c r="M478" s="9"/>
      <c r="P478" s="9"/>
    </row>
    <row r="479" ht="15.75" customHeight="1">
      <c r="B479" s="9"/>
      <c r="E479" s="9"/>
      <c r="F479" s="9"/>
      <c r="G479" s="9"/>
      <c r="H479" s="9"/>
      <c r="J479" s="9"/>
      <c r="M479" s="9"/>
      <c r="P479" s="9"/>
    </row>
    <row r="480" ht="15.75" customHeight="1">
      <c r="B480" s="9"/>
      <c r="E480" s="9"/>
      <c r="F480" s="9"/>
      <c r="G480" s="9"/>
      <c r="H480" s="9"/>
      <c r="J480" s="9"/>
      <c r="M480" s="9"/>
      <c r="P480" s="9"/>
    </row>
    <row r="481" ht="15.75" customHeight="1">
      <c r="B481" s="9"/>
      <c r="E481" s="9"/>
      <c r="F481" s="9"/>
      <c r="G481" s="9"/>
      <c r="H481" s="9"/>
      <c r="J481" s="9"/>
      <c r="M481" s="9"/>
      <c r="P481" s="9"/>
    </row>
    <row r="482" ht="15.75" customHeight="1">
      <c r="B482" s="9"/>
      <c r="E482" s="9"/>
      <c r="F482" s="9"/>
      <c r="G482" s="9"/>
      <c r="H482" s="9"/>
      <c r="J482" s="9"/>
      <c r="M482" s="9"/>
      <c r="P482" s="9"/>
    </row>
    <row r="483" ht="15.75" customHeight="1">
      <c r="B483" s="9"/>
      <c r="E483" s="9"/>
      <c r="F483" s="9"/>
      <c r="G483" s="9"/>
      <c r="H483" s="9"/>
      <c r="J483" s="9"/>
      <c r="M483" s="9"/>
      <c r="P483" s="9"/>
    </row>
    <row r="484" ht="15.75" customHeight="1">
      <c r="B484" s="9"/>
      <c r="E484" s="9"/>
      <c r="F484" s="9"/>
      <c r="G484" s="9"/>
      <c r="H484" s="9"/>
      <c r="J484" s="9"/>
      <c r="M484" s="9"/>
      <c r="P484" s="9"/>
    </row>
    <row r="485" ht="15.75" customHeight="1">
      <c r="B485" s="9"/>
      <c r="E485" s="9"/>
      <c r="F485" s="9"/>
      <c r="G485" s="9"/>
      <c r="H485" s="9"/>
      <c r="J485" s="9"/>
      <c r="M485" s="9"/>
      <c r="P485" s="9"/>
    </row>
    <row r="486" ht="15.75" customHeight="1">
      <c r="B486" s="9"/>
      <c r="E486" s="9"/>
      <c r="F486" s="9"/>
      <c r="G486" s="9"/>
      <c r="H486" s="9"/>
      <c r="J486" s="9"/>
      <c r="M486" s="9"/>
      <c r="P486" s="9"/>
    </row>
    <row r="487" ht="15.75" customHeight="1">
      <c r="B487" s="9"/>
      <c r="E487" s="9"/>
      <c r="F487" s="9"/>
      <c r="G487" s="9"/>
      <c r="H487" s="9"/>
      <c r="J487" s="9"/>
      <c r="M487" s="9"/>
      <c r="P487" s="9"/>
    </row>
    <row r="488" ht="15.75" customHeight="1">
      <c r="B488" s="9"/>
      <c r="E488" s="9"/>
      <c r="F488" s="9"/>
      <c r="G488" s="9"/>
      <c r="H488" s="9"/>
      <c r="J488" s="9"/>
      <c r="M488" s="9"/>
      <c r="P488" s="9"/>
    </row>
    <row r="489" ht="15.75" customHeight="1">
      <c r="B489" s="9"/>
      <c r="E489" s="9"/>
      <c r="F489" s="9"/>
      <c r="G489" s="9"/>
      <c r="H489" s="9"/>
      <c r="J489" s="9"/>
      <c r="M489" s="9"/>
      <c r="P489" s="9"/>
    </row>
    <row r="490" ht="15.75" customHeight="1">
      <c r="B490" s="9"/>
      <c r="E490" s="9"/>
      <c r="F490" s="9"/>
      <c r="G490" s="9"/>
      <c r="H490" s="9"/>
      <c r="J490" s="9"/>
      <c r="M490" s="9"/>
      <c r="P490" s="9"/>
    </row>
    <row r="491" ht="15.75" customHeight="1">
      <c r="B491" s="9"/>
      <c r="E491" s="9"/>
      <c r="F491" s="9"/>
      <c r="G491" s="9"/>
      <c r="H491" s="9"/>
      <c r="J491" s="9"/>
      <c r="M491" s="9"/>
      <c r="P491" s="9"/>
    </row>
    <row r="492" ht="15.75" customHeight="1">
      <c r="B492" s="9"/>
      <c r="E492" s="9"/>
      <c r="F492" s="9"/>
      <c r="G492" s="9"/>
      <c r="H492" s="9"/>
      <c r="J492" s="9"/>
      <c r="M492" s="9"/>
      <c r="P492" s="9"/>
    </row>
    <row r="493" ht="15.75" customHeight="1">
      <c r="B493" s="9"/>
      <c r="E493" s="9"/>
      <c r="F493" s="9"/>
      <c r="G493" s="9"/>
      <c r="H493" s="9"/>
      <c r="J493" s="9"/>
      <c r="M493" s="9"/>
      <c r="P493" s="9"/>
    </row>
    <row r="494" ht="15.75" customHeight="1">
      <c r="B494" s="9"/>
      <c r="E494" s="9"/>
      <c r="F494" s="9"/>
      <c r="G494" s="9"/>
      <c r="H494" s="9"/>
      <c r="J494" s="9"/>
      <c r="M494" s="9"/>
      <c r="P494" s="9"/>
    </row>
    <row r="495" ht="15.75" customHeight="1">
      <c r="B495" s="9"/>
      <c r="E495" s="9"/>
      <c r="F495" s="9"/>
      <c r="G495" s="9"/>
      <c r="H495" s="9"/>
      <c r="J495" s="9"/>
      <c r="M495" s="9"/>
      <c r="P495" s="9"/>
    </row>
    <row r="496" ht="15.75" customHeight="1">
      <c r="B496" s="9"/>
      <c r="E496" s="9"/>
      <c r="F496" s="9"/>
      <c r="G496" s="9"/>
      <c r="H496" s="9"/>
      <c r="J496" s="9"/>
      <c r="M496" s="9"/>
      <c r="P496" s="9"/>
    </row>
    <row r="497" ht="15.75" customHeight="1">
      <c r="B497" s="9"/>
      <c r="E497" s="9"/>
      <c r="F497" s="9"/>
      <c r="G497" s="9"/>
      <c r="H497" s="9"/>
      <c r="J497" s="9"/>
      <c r="M497" s="9"/>
      <c r="P497" s="9"/>
    </row>
    <row r="498" ht="15.75" customHeight="1">
      <c r="B498" s="9"/>
      <c r="E498" s="9"/>
      <c r="F498" s="9"/>
      <c r="G498" s="9"/>
      <c r="H498" s="9"/>
      <c r="J498" s="9"/>
      <c r="M498" s="9"/>
      <c r="P498" s="9"/>
    </row>
    <row r="499" ht="15.75" customHeight="1">
      <c r="B499" s="9"/>
      <c r="E499" s="9"/>
      <c r="F499" s="9"/>
      <c r="G499" s="9"/>
      <c r="H499" s="9"/>
      <c r="J499" s="9"/>
      <c r="M499" s="9"/>
      <c r="P499" s="9"/>
    </row>
    <row r="500" ht="15.75" customHeight="1">
      <c r="B500" s="9"/>
      <c r="E500" s="9"/>
      <c r="F500" s="9"/>
      <c r="G500" s="9"/>
      <c r="H500" s="9"/>
      <c r="J500" s="9"/>
      <c r="M500" s="9"/>
      <c r="P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J1000">
    <cfRule type="expression" dxfId="0" priority="1">
      <formula>J2="Да"</formula>
    </cfRule>
  </conditionalFormatting>
  <conditionalFormatting sqref="J2:J1000">
    <cfRule type="expression" dxfId="1" priority="2">
      <formula>J2="Не уверен"</formula>
    </cfRule>
  </conditionalFormatting>
  <conditionalFormatting sqref="J2:J1000">
    <cfRule type="expression" dxfId="2" priority="3">
      <formula>J2="Нет"</formula>
    </cfRule>
  </conditionalFormatting>
  <conditionalFormatting sqref="P2:P1000">
    <cfRule type="expression" dxfId="0" priority="4">
      <formula>P2="Active"</formula>
    </cfRule>
  </conditionalFormatting>
  <conditionalFormatting sqref="P2:P1000">
    <cfRule type="expression" dxfId="1" priority="5">
      <formula>P2="Проверить"</formula>
    </cfRule>
  </conditionalFormatting>
  <conditionalFormatting sqref="P2:P1000">
    <cfRule type="expression" dxfId="3" priority="6">
      <formula>P2="Expired"</formula>
    </cfRule>
  </conditionalFormatting>
  <dataValidations>
    <dataValidation type="list" allowBlank="1" sqref="B2:B500">
      <formula1>"Программисты,Анализ данных,Финансы аналтитика,Маркетинг,Бизнес-аналитика,Консалтинг,Государственный сектор и правительство,Engineering,Sales,Бухгалтерский учёт и финансы,Other"</formula1>
    </dataValidation>
    <dataValidation type="list" allowBlank="1" sqref="J2:J500">
      <formula1>"Да,Нет,Не уверен"</formula1>
    </dataValidation>
    <dataValidation type="list" allowBlank="1" sqref="P2:P500">
      <formula1>"Active,Expired,Проверить"</formula1>
    </dataValidation>
    <dataValidation type="list" allowBlank="1" sqref="M2:M500">
      <formula1>"LinkedIn,HeadHunter,Telegram,Сайт компании,Другой,SvoeVagro / источник вакансии,PepsiCo Jobs"</formula1>
    </dataValidation>
    <dataValidation type="list" allowBlank="1" sqref="G2:G500">
      <formula1>"Office,Hybrid,Remote"</formula1>
    </dataValidation>
    <dataValidation type="list" allowBlank="1" sqref="F2:F500">
      <formula1>"Алматы, Казахстан,Астана,Казахстан,Шымкент,Казахстан,Караганда,Казахстан,Ташкент, Узбекистан,Remote,Москва, Россия,Бишкек, Кыргызстан,Усть-Каменогорск, Казахстан"</formula1>
    </dataValidation>
    <dataValidation type="list" allowBlank="1" sqref="H2:H500">
      <formula1>"Без опыта,0–1 год,1–2 года,2+ года"</formula1>
    </dataValidation>
    <dataValidation type="list" allowBlank="1" sqref="E2:E500">
      <formula1>"Internship,Entry-level,Trainee,Part-time,Graduate Program"</formula1>
    </dataValidation>
  </dataValidations>
  <hyperlinks>
    <hyperlink r:id="rId1" ref="O2"/>
    <hyperlink r:id="rId2" ref="O3"/>
    <hyperlink r:id="rId3" ref="O4"/>
    <hyperlink r:id="rId4" ref="O5"/>
    <hyperlink r:id="rId5" ref="O6"/>
    <hyperlink display="https://almaty.hh.kz/employer/4949?dpt=4949-4949-stud" location="'📋 Вакансии'!A1" ref="O7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5"/>
    <hyperlink r:id="rId24" ref="O26"/>
    <hyperlink r:id="rId25" ref="O27"/>
    <hyperlink r:id="rId26" ref="O28"/>
    <hyperlink r:id="rId27" ref="O29"/>
    <hyperlink r:id="rId28" ref="O30"/>
    <hyperlink r:id="rId29" ref="O31"/>
    <hyperlink r:id="rId30" ref="O32"/>
    <hyperlink r:id="rId31" ref="O33"/>
    <hyperlink r:id="rId32" ref="O34"/>
    <hyperlink r:id="rId33" ref="O35"/>
    <hyperlink r:id="rId34" ref="O36"/>
    <hyperlink r:id="rId35" ref="O37"/>
    <hyperlink r:id="rId36" ref="O38"/>
  </hyperlinks>
  <printOptions/>
  <pageMargins bottom="1.0" footer="0.0" header="0.0" left="0.75" right="0.75" top="1.0"/>
  <pageSetup orientation="landscape"/>
  <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17.0"/>
    <col customWidth="1" min="9" max="26" width="8.71"/>
  </cols>
  <sheetData>
    <row r="2">
      <c r="B2" s="2" t="s">
        <v>1</v>
      </c>
    </row>
    <row r="3">
      <c r="B3" s="5" t="s">
        <v>3</v>
      </c>
    </row>
    <row r="5">
      <c r="B5" s="7" t="s">
        <v>19</v>
      </c>
      <c r="C5" s="8"/>
      <c r="D5" s="7" t="s">
        <v>21</v>
      </c>
      <c r="E5" s="8"/>
      <c r="F5" s="7" t="s">
        <v>25</v>
      </c>
      <c r="G5" s="8"/>
      <c r="H5" s="10" t="s">
        <v>31</v>
      </c>
    </row>
    <row r="6" ht="27.75" customHeight="1">
      <c r="B6" s="14" t="s">
        <v>44</v>
      </c>
      <c r="C6" s="15"/>
      <c r="D6" s="20">
        <f>COUNTIF('📋 Вакансии'!J2:J500,"Да")</f>
        <v>37</v>
      </c>
      <c r="E6" s="15"/>
      <c r="F6" s="20">
        <f>COUNTIF('📋 Вакансии'!P2:P500,"Active")</f>
        <v>37</v>
      </c>
      <c r="G6" s="15"/>
      <c r="H6" s="22">
        <f>IFERROR(__xludf.DUMMYFUNCTION("IFERROR(COUNTA(UNIQUE(FILTER('📋 Вакансии'!F2:F500,'📋 Вакансии'!F2:F500&lt;&gt;""""))),0)"),7.0)</f>
        <v>7</v>
      </c>
    </row>
    <row r="7" ht="27.75" customHeight="1">
      <c r="B7" s="23"/>
      <c r="C7" s="24"/>
      <c r="D7" s="23"/>
      <c r="E7" s="24"/>
      <c r="F7" s="23"/>
      <c r="G7" s="24"/>
      <c r="H7" s="25"/>
    </row>
    <row r="10">
      <c r="B10" s="27" t="s">
        <v>87</v>
      </c>
    </row>
    <row r="11">
      <c r="B11" s="28" t="s">
        <v>88</v>
      </c>
      <c r="C11" s="29" t="s">
        <v>89</v>
      </c>
    </row>
    <row r="12">
      <c r="B12" s="28" t="s">
        <v>92</v>
      </c>
      <c r="C12" s="29" t="s">
        <v>93</v>
      </c>
    </row>
    <row r="13">
      <c r="B13" s="28" t="s">
        <v>94</v>
      </c>
      <c r="C13" s="29" t="s">
        <v>95</v>
      </c>
    </row>
    <row r="14">
      <c r="B14" s="28" t="s">
        <v>97</v>
      </c>
      <c r="C14" s="29" t="s">
        <v>99</v>
      </c>
    </row>
    <row r="17">
      <c r="B17" s="27" t="s">
        <v>100</v>
      </c>
    </row>
    <row r="18">
      <c r="B18" s="19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6:G7"/>
    <mergeCell ref="H6:H7"/>
    <mergeCell ref="B10:H10"/>
    <mergeCell ref="C11:H11"/>
    <mergeCell ref="C12:H12"/>
    <mergeCell ref="C13:H13"/>
    <mergeCell ref="C14:H14"/>
    <mergeCell ref="B17:H17"/>
    <mergeCell ref="B18:H20"/>
    <mergeCell ref="B2:H2"/>
    <mergeCell ref="B3:H3"/>
    <mergeCell ref="B5:C5"/>
    <mergeCell ref="D5:E5"/>
    <mergeCell ref="F5:G5"/>
    <mergeCell ref="B6:C7"/>
    <mergeCell ref="D6:E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25.0"/>
    <col customWidth="1" min="9" max="26" width="8.71"/>
  </cols>
  <sheetData>
    <row r="1">
      <c r="A1" s="4" t="s">
        <v>0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20</v>
      </c>
      <c r="G1" s="4" t="s">
        <v>13</v>
      </c>
      <c r="H1" s="4" t="s">
        <v>16</v>
      </c>
    </row>
    <row r="2">
      <c r="A2" s="9" t="s">
        <v>22</v>
      </c>
      <c r="B2" s="9" t="s">
        <v>23</v>
      </c>
      <c r="C2" s="9" t="s">
        <v>24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30</v>
      </c>
    </row>
    <row r="3">
      <c r="A3" s="9" t="s">
        <v>33</v>
      </c>
      <c r="B3" s="9" t="s">
        <v>34</v>
      </c>
      <c r="C3" s="9" t="s">
        <v>35</v>
      </c>
      <c r="D3" s="9" t="s">
        <v>37</v>
      </c>
      <c r="E3" s="9" t="s">
        <v>38</v>
      </c>
      <c r="F3" s="9" t="s">
        <v>39</v>
      </c>
      <c r="G3" s="9" t="s">
        <v>40</v>
      </c>
      <c r="H3" s="9" t="s">
        <v>41</v>
      </c>
    </row>
    <row r="4">
      <c r="A4" s="9" t="s">
        <v>42</v>
      </c>
      <c r="B4" s="9" t="s">
        <v>43</v>
      </c>
      <c r="C4" s="9" t="s">
        <v>46</v>
      </c>
      <c r="D4" s="9" t="s">
        <v>47</v>
      </c>
      <c r="E4" s="9" t="s">
        <v>48</v>
      </c>
      <c r="F4" s="9" t="s">
        <v>49</v>
      </c>
      <c r="G4" s="9" t="s">
        <v>50</v>
      </c>
      <c r="H4" s="9" t="s">
        <v>51</v>
      </c>
    </row>
    <row r="5">
      <c r="A5" s="9" t="s">
        <v>52</v>
      </c>
      <c r="B5" s="9" t="s">
        <v>53</v>
      </c>
      <c r="C5" s="9" t="s">
        <v>54</v>
      </c>
      <c r="E5" s="9" t="s">
        <v>56</v>
      </c>
      <c r="G5" s="9" t="s">
        <v>57</v>
      </c>
    </row>
    <row r="6">
      <c r="A6" s="9" t="s">
        <v>58</v>
      </c>
      <c r="B6" s="9" t="s">
        <v>59</v>
      </c>
      <c r="C6" s="9" t="s">
        <v>60</v>
      </c>
      <c r="G6" s="9" t="s">
        <v>62</v>
      </c>
    </row>
    <row r="7">
      <c r="A7" s="9" t="s">
        <v>63</v>
      </c>
      <c r="C7" s="9" t="s">
        <v>47</v>
      </c>
    </row>
    <row r="8">
      <c r="A8" s="9" t="s">
        <v>64</v>
      </c>
    </row>
    <row r="9">
      <c r="A9" s="9" t="s">
        <v>66</v>
      </c>
    </row>
    <row r="10">
      <c r="A10" s="9" t="s">
        <v>67</v>
      </c>
    </row>
    <row r="11">
      <c r="A11" s="9" t="s">
        <v>69</v>
      </c>
    </row>
    <row r="12">
      <c r="A12" s="9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90.0"/>
    <col customWidth="1" min="3" max="26" width="8.71"/>
  </cols>
  <sheetData>
    <row r="1">
      <c r="A1" s="12" t="s">
        <v>36</v>
      </c>
    </row>
    <row r="3">
      <c r="A3" s="16" t="s">
        <v>61</v>
      </c>
      <c r="B3" s="16" t="s">
        <v>65</v>
      </c>
    </row>
    <row r="4">
      <c r="A4" s="18" t="s">
        <v>68</v>
      </c>
      <c r="B4" s="19" t="s">
        <v>71</v>
      </c>
    </row>
    <row r="5">
      <c r="A5" s="18" t="s">
        <v>0</v>
      </c>
      <c r="B5" s="19" t="s">
        <v>73</v>
      </c>
    </row>
    <row r="6">
      <c r="A6" s="18" t="s">
        <v>10</v>
      </c>
      <c r="B6" s="19" t="s">
        <v>74</v>
      </c>
    </row>
    <row r="7">
      <c r="A7" s="18" t="s">
        <v>12</v>
      </c>
      <c r="B7" s="19" t="s">
        <v>75</v>
      </c>
    </row>
    <row r="8">
      <c r="A8" s="18" t="s">
        <v>15</v>
      </c>
      <c r="B8" s="19" t="s">
        <v>76</v>
      </c>
    </row>
    <row r="9">
      <c r="A9" s="18" t="s">
        <v>78</v>
      </c>
      <c r="B9" s="19" t="s">
        <v>79</v>
      </c>
    </row>
    <row r="10">
      <c r="A10" s="18" t="s">
        <v>80</v>
      </c>
      <c r="B10" s="19" t="s">
        <v>81</v>
      </c>
    </row>
    <row r="11">
      <c r="A11" s="18" t="s">
        <v>82</v>
      </c>
      <c r="B11" s="19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